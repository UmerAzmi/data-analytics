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C:\Users\Umer Azmi\Downloads\"/>
    </mc:Choice>
  </mc:AlternateContent>
  <xr:revisionPtr revIDLastSave="0" documentId="13_ncr:1_{C8355D5A-6C38-4750-AF97-A5850B84B453}"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Sheet'!$A$1:$N$1027</definedName>
    <definedName name="Slicer_Education">#N/A</definedName>
    <definedName name="Slicer_Home_Owner">#N/A</definedName>
    <definedName name="Slicer_Marital_Status">#N/A</definedName>
    <definedName name="Slicer_Region">#N/A</definedName>
  </definedNames>
  <calcPr calcId="191029"/>
  <pivotCaches>
    <pivotCache cacheId="32"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4" l="1" a="1"/>
  <c r="M3" i="4" s="1"/>
  <c r="M4" i="4" a="1"/>
  <c r="M4" i="4" s="1"/>
  <c r="M5" i="4" a="1"/>
  <c r="M5" i="4"/>
  <c r="M6" i="4" a="1"/>
  <c r="M6" i="4"/>
  <c r="M7" i="4" a="1"/>
  <c r="M7" i="4"/>
  <c r="M8" i="4" a="1"/>
  <c r="M8" i="4"/>
  <c r="M9" i="4" a="1"/>
  <c r="M9" i="4" s="1"/>
  <c r="M10" i="4" a="1"/>
  <c r="M10" i="4" s="1"/>
  <c r="M11" i="4" a="1"/>
  <c r="M11" i="4" s="1"/>
  <c r="M12" i="4" a="1"/>
  <c r="M12" i="4"/>
  <c r="M13" i="4" a="1"/>
  <c r="M13" i="4"/>
  <c r="M14" i="4" a="1"/>
  <c r="M14" i="4"/>
  <c r="M15" i="4" a="1"/>
  <c r="M15" i="4"/>
  <c r="M16" i="4" a="1"/>
  <c r="M16" i="4" s="1"/>
  <c r="M17" i="4" a="1"/>
  <c r="M17" i="4" s="1"/>
  <c r="M18" i="4" a="1"/>
  <c r="M18" i="4" s="1"/>
  <c r="M19" i="4" a="1"/>
  <c r="M19" i="4" s="1"/>
  <c r="M20" i="4" a="1"/>
  <c r="M20" i="4"/>
  <c r="M21" i="4" a="1"/>
  <c r="M21" i="4"/>
  <c r="M22" i="4" a="1"/>
  <c r="M22" i="4" s="1"/>
  <c r="M23" i="4" a="1"/>
  <c r="M23" i="4" s="1"/>
  <c r="M24" i="4" a="1"/>
  <c r="M24" i="4"/>
  <c r="M25" i="4" a="1"/>
  <c r="M25" i="4" s="1"/>
  <c r="M26" i="4" a="1"/>
  <c r="M26" i="4" s="1"/>
  <c r="M27" i="4" a="1"/>
  <c r="M27" i="4"/>
  <c r="M28" i="4" a="1"/>
  <c r="M28" i="4" s="1"/>
  <c r="M29" i="4" a="1"/>
  <c r="M29" i="4" s="1"/>
  <c r="M30" i="4" a="1"/>
  <c r="M30" i="4" s="1"/>
  <c r="M31" i="4" a="1"/>
  <c r="M31" i="4" s="1"/>
  <c r="M32" i="4" a="1"/>
  <c r="M32" i="4"/>
  <c r="M33" i="4" a="1"/>
  <c r="M33" i="4" s="1"/>
  <c r="M34" i="4" a="1"/>
  <c r="M34" i="4" s="1"/>
  <c r="M35" i="4" a="1"/>
  <c r="M35" i="4" s="1"/>
  <c r="M36" i="4" a="1"/>
  <c r="M36" i="4"/>
  <c r="M37" i="4" a="1"/>
  <c r="M37" i="4" s="1"/>
  <c r="M38" i="4" a="1"/>
  <c r="M38" i="4"/>
  <c r="M39" i="4" a="1"/>
  <c r="M39" i="4"/>
  <c r="M40" i="4" a="1"/>
  <c r="M40" i="4" s="1"/>
  <c r="M41" i="4" a="1"/>
  <c r="M41" i="4"/>
  <c r="M42" i="4" a="1"/>
  <c r="M42" i="4" s="1"/>
  <c r="M43" i="4" a="1"/>
  <c r="M43" i="4" s="1"/>
  <c r="M44" i="4" a="1"/>
  <c r="M44" i="4" s="1"/>
  <c r="M45" i="4" a="1"/>
  <c r="M45" i="4"/>
  <c r="M46" i="4" a="1"/>
  <c r="M46" i="4" s="1"/>
  <c r="M47" i="4" a="1"/>
  <c r="M47" i="4"/>
  <c r="M48" i="4" a="1"/>
  <c r="M48" i="4" s="1"/>
  <c r="M49" i="4" a="1"/>
  <c r="M49" i="4"/>
  <c r="M50" i="4" a="1"/>
  <c r="M50" i="4" s="1"/>
  <c r="M51" i="4" a="1"/>
  <c r="M51" i="4" s="1"/>
  <c r="M52" i="4" a="1"/>
  <c r="M52" i="4" s="1"/>
  <c r="M53" i="4" a="1"/>
  <c r="M53" i="4"/>
  <c r="M54" i="4" a="1"/>
  <c r="M54" i="4"/>
  <c r="M55" i="4" a="1"/>
  <c r="M55" i="4" s="1"/>
  <c r="M56" i="4" a="1"/>
  <c r="M56" i="4" s="1"/>
  <c r="M57" i="4" a="1"/>
  <c r="M57" i="4" s="1"/>
  <c r="M58" i="4" a="1"/>
  <c r="M58" i="4" s="1"/>
  <c r="M59" i="4" a="1"/>
  <c r="M59" i="4" s="1"/>
  <c r="M60" i="4" a="1"/>
  <c r="M60" i="4" s="1"/>
  <c r="M61" i="4" a="1"/>
  <c r="M61" i="4"/>
  <c r="M62" i="4" a="1"/>
  <c r="M62" i="4"/>
  <c r="M63" i="4" a="1"/>
  <c r="M63" i="4" s="1"/>
  <c r="M64" i="4" a="1"/>
  <c r="M64" i="4" s="1"/>
  <c r="M65" i="4" a="1"/>
  <c r="M65" i="4"/>
  <c r="M66" i="4" a="1"/>
  <c r="M66" i="4"/>
  <c r="M67" i="4" a="1"/>
  <c r="M67" i="4" s="1"/>
  <c r="M68" i="4" a="1"/>
  <c r="M68" i="4" s="1"/>
  <c r="M69" i="4" a="1"/>
  <c r="M69" i="4"/>
  <c r="M70" i="4" a="1"/>
  <c r="M70" i="4" s="1"/>
  <c r="M71" i="4" a="1"/>
  <c r="M71" i="4" s="1"/>
  <c r="M72" i="4" a="1"/>
  <c r="M72" i="4" s="1"/>
  <c r="M73" i="4" a="1"/>
  <c r="M73" i="4" s="1"/>
  <c r="M74" i="4" a="1"/>
  <c r="M74" i="4"/>
  <c r="M75" i="4" a="1"/>
  <c r="M75" i="4"/>
  <c r="M76" i="4" a="1"/>
  <c r="M76" i="4" s="1"/>
  <c r="M77" i="4" a="1"/>
  <c r="M77" i="4"/>
  <c r="M78" i="4" a="1"/>
  <c r="M78" i="4" s="1"/>
  <c r="M79" i="4" a="1"/>
  <c r="M79" i="4" s="1"/>
  <c r="M80" i="4" a="1"/>
  <c r="M80" i="4"/>
  <c r="M81" i="4" a="1"/>
  <c r="M81" i="4" s="1"/>
  <c r="M82" i="4" a="1"/>
  <c r="M82" i="4" s="1"/>
  <c r="M83" i="4" a="1"/>
  <c r="M83" i="4"/>
  <c r="M84" i="4" a="1"/>
  <c r="M84" i="4" s="1"/>
  <c r="M85" i="4" a="1"/>
  <c r="M85" i="4" s="1"/>
  <c r="M86" i="4" a="1"/>
  <c r="M86" i="4"/>
  <c r="M87" i="4" a="1"/>
  <c r="M87" i="4" s="1"/>
  <c r="M88" i="4" a="1"/>
  <c r="M88" i="4" s="1"/>
  <c r="M89" i="4" a="1"/>
  <c r="M89" i="4"/>
  <c r="M90" i="4" a="1"/>
  <c r="M90" i="4"/>
  <c r="M91" i="4" a="1"/>
  <c r="M91" i="4" s="1"/>
  <c r="M92" i="4" a="1"/>
  <c r="M92" i="4" s="1"/>
  <c r="M93" i="4" a="1"/>
  <c r="M93" i="4" s="1"/>
  <c r="M94" i="4" a="1"/>
  <c r="M94" i="4" s="1"/>
  <c r="M95" i="4" a="1"/>
  <c r="M95" i="4" s="1"/>
  <c r="M96" i="4" a="1"/>
  <c r="M96" i="4"/>
  <c r="M97" i="4" a="1"/>
  <c r="M97" i="4"/>
  <c r="M98" i="4" a="1"/>
  <c r="M98" i="4"/>
  <c r="M99" i="4" a="1"/>
  <c r="M99" i="4"/>
  <c r="M100" i="4" a="1"/>
  <c r="M100" i="4" s="1"/>
  <c r="M101" i="4" a="1"/>
  <c r="M101" i="4" s="1"/>
  <c r="M102" i="4" a="1"/>
  <c r="M102" i="4" s="1"/>
  <c r="M103" i="4" a="1"/>
  <c r="M103" i="4"/>
  <c r="M104" i="4" a="1"/>
  <c r="M104" i="4"/>
  <c r="M105" i="4" a="1"/>
  <c r="M105" i="4"/>
  <c r="M106" i="4" a="1"/>
  <c r="M106" i="4" s="1"/>
  <c r="M107" i="4" a="1"/>
  <c r="M107" i="4"/>
  <c r="M108" i="4" a="1"/>
  <c r="M108" i="4" s="1"/>
  <c r="M109" i="4" a="1"/>
  <c r="M109" i="4" s="1"/>
  <c r="M110" i="4" a="1"/>
  <c r="M110" i="4"/>
  <c r="M111" i="4" a="1"/>
  <c r="M111" i="4" s="1"/>
  <c r="M112" i="4" a="1"/>
  <c r="M112" i="4" s="1"/>
  <c r="M113" i="4" a="1"/>
  <c r="M113" i="4"/>
  <c r="M114" i="4" a="1"/>
  <c r="M114" i="4" s="1"/>
  <c r="M115" i="4" a="1"/>
  <c r="M115" i="4" s="1"/>
  <c r="M116" i="4" a="1"/>
  <c r="M116" i="4"/>
  <c r="M117" i="4" a="1"/>
  <c r="M117" i="4" s="1"/>
  <c r="M118" i="4" a="1"/>
  <c r="M118" i="4" s="1"/>
  <c r="M119" i="4" a="1"/>
  <c r="M119" i="4"/>
  <c r="M120" i="4" a="1"/>
  <c r="M120" i="4"/>
  <c r="M121" i="4" a="1"/>
  <c r="M121" i="4" s="1"/>
  <c r="M122" i="4" a="1"/>
  <c r="M122" i="4" s="1"/>
  <c r="M123" i="4" a="1"/>
  <c r="M123" i="4"/>
  <c r="M124" i="4" a="1"/>
  <c r="M124" i="4" s="1"/>
  <c r="M125" i="4" a="1"/>
  <c r="M125" i="4" s="1"/>
  <c r="M126" i="4" a="1"/>
  <c r="M126" i="4" s="1"/>
  <c r="M127" i="4" a="1"/>
  <c r="M127" i="4" s="1"/>
  <c r="M128" i="4" a="1"/>
  <c r="M128" i="4"/>
  <c r="M129" i="4" a="1"/>
  <c r="M129" i="4" s="1"/>
  <c r="M130" i="4" a="1"/>
  <c r="M130" i="4" s="1"/>
  <c r="M131" i="4" a="1"/>
  <c r="M131" i="4"/>
  <c r="M132" i="4" a="1"/>
  <c r="M132" i="4" s="1"/>
  <c r="M133" i="4" a="1"/>
  <c r="M133" i="4" s="1"/>
  <c r="M134" i="4" a="1"/>
  <c r="M134" i="4" s="1"/>
  <c r="M135" i="4" a="1"/>
  <c r="M135" i="4"/>
  <c r="M136" i="4" a="1"/>
  <c r="M136" i="4" s="1"/>
  <c r="M137" i="4" a="1"/>
  <c r="M137" i="4" s="1"/>
  <c r="M138" i="4" a="1"/>
  <c r="M138" i="4"/>
  <c r="M139" i="4" a="1"/>
  <c r="M139" i="4"/>
  <c r="M140" i="4" a="1"/>
  <c r="M140" i="4" s="1"/>
  <c r="M141" i="4" a="1"/>
  <c r="M141" i="4" s="1"/>
  <c r="M142" i="4" a="1"/>
  <c r="M142" i="4" s="1"/>
  <c r="M143" i="4" a="1"/>
  <c r="M143" i="4" s="1"/>
  <c r="M144" i="4" a="1"/>
  <c r="M144" i="4" s="1"/>
  <c r="M145" i="4" a="1"/>
  <c r="M145" i="4" s="1"/>
  <c r="M146" i="4" a="1"/>
  <c r="M146" i="4"/>
  <c r="M147" i="4" a="1"/>
  <c r="M147" i="4"/>
  <c r="M148" i="4" a="1"/>
  <c r="M148" i="4" s="1"/>
  <c r="M149" i="4" a="1"/>
  <c r="M149" i="4" s="1"/>
  <c r="M150" i="4" a="1"/>
  <c r="M150" i="4" s="1"/>
  <c r="M151" i="4" a="1"/>
  <c r="M151" i="4" s="1"/>
  <c r="M152" i="4" a="1"/>
  <c r="M152" i="4" s="1"/>
  <c r="M153" i="4" a="1"/>
  <c r="M153" i="4" s="1"/>
  <c r="M154" i="4" a="1"/>
  <c r="M154" i="4" s="1"/>
  <c r="M155" i="4" a="1"/>
  <c r="M155" i="4"/>
  <c r="M156" i="4" a="1"/>
  <c r="M156" i="4"/>
  <c r="M157" i="4" a="1"/>
  <c r="M157" i="4" s="1"/>
  <c r="M158" i="4" a="1"/>
  <c r="M158" i="4" s="1"/>
  <c r="M159" i="4" a="1"/>
  <c r="M159" i="4" s="1"/>
  <c r="M160" i="4" a="1"/>
  <c r="M160" i="4" s="1"/>
  <c r="M161" i="4" a="1"/>
  <c r="M161" i="4" s="1"/>
  <c r="M162" i="4" a="1"/>
  <c r="M162" i="4"/>
  <c r="M163" i="4" a="1"/>
  <c r="M163" i="4"/>
  <c r="M164" i="4" a="1"/>
  <c r="M164" i="4"/>
  <c r="M165" i="4" a="1"/>
  <c r="M165" i="4" s="1"/>
  <c r="M166" i="4" a="1"/>
  <c r="M166" i="4" s="1"/>
  <c r="M167" i="4" a="1"/>
  <c r="M167" i="4"/>
  <c r="M168" i="4" a="1"/>
  <c r="M168" i="4" s="1"/>
  <c r="M169" i="4" a="1"/>
  <c r="M169" i="4" s="1"/>
  <c r="M170" i="4" a="1"/>
  <c r="M170" i="4"/>
  <c r="M171" i="4" a="1"/>
  <c r="M171" i="4" s="1"/>
  <c r="M172" i="4" a="1"/>
  <c r="M172" i="4" s="1"/>
  <c r="M173" i="4" a="1"/>
  <c r="M173" i="4" s="1"/>
  <c r="M174" i="4" a="1"/>
  <c r="M174" i="4" s="1"/>
  <c r="M175" i="4" a="1"/>
  <c r="M175" i="4"/>
  <c r="M176" i="4" a="1"/>
  <c r="M176" i="4"/>
  <c r="M177" i="4" a="1"/>
  <c r="M177" i="4" s="1"/>
  <c r="M178" i="4" a="1"/>
  <c r="M178" i="4" s="1"/>
  <c r="M179" i="4" a="1"/>
  <c r="M179" i="4" s="1"/>
  <c r="M180" i="4" a="1"/>
  <c r="M180" i="4"/>
  <c r="M181" i="4" a="1"/>
  <c r="M181" i="4" s="1"/>
  <c r="M182" i="4" a="1"/>
  <c r="M182" i="4"/>
  <c r="M183" i="4" a="1"/>
  <c r="M183" i="4"/>
  <c r="M184" i="4" a="1"/>
  <c r="M184" i="4" s="1"/>
  <c r="M185" i="4" a="1"/>
  <c r="M185" i="4" s="1"/>
  <c r="M186" i="4" a="1"/>
  <c r="M186" i="4" s="1"/>
  <c r="M187" i="4" a="1"/>
  <c r="M187" i="4"/>
  <c r="M188" i="4" a="1"/>
  <c r="M188" i="4" s="1"/>
  <c r="M189" i="4" a="1"/>
  <c r="M189" i="4"/>
  <c r="M190" i="4" a="1"/>
  <c r="M190" i="4" s="1"/>
  <c r="M191" i="4" a="1"/>
  <c r="M191" i="4"/>
  <c r="M192" i="4" a="1"/>
  <c r="M192" i="4" s="1"/>
  <c r="M193" i="4" a="1"/>
  <c r="M193" i="4" s="1"/>
  <c r="M194" i="4" a="1"/>
  <c r="M194" i="4"/>
  <c r="M195" i="4" a="1"/>
  <c r="M195" i="4" s="1"/>
  <c r="M196" i="4" a="1"/>
  <c r="M196" i="4" s="1"/>
  <c r="M197" i="4" a="1"/>
  <c r="M197" i="4"/>
  <c r="M198" i="4" a="1"/>
  <c r="M198" i="4"/>
  <c r="M199" i="4" a="1"/>
  <c r="M199" i="4" s="1"/>
  <c r="M200" i="4" a="1"/>
  <c r="M200" i="4" s="1"/>
  <c r="M201" i="4" a="1"/>
  <c r="M201" i="4" s="1"/>
  <c r="M202" i="4" a="1"/>
  <c r="M202" i="4" s="1"/>
  <c r="M203" i="4" a="1"/>
  <c r="M203" i="4" s="1"/>
  <c r="M204" i="4" a="1"/>
  <c r="M204" i="4"/>
  <c r="M205" i="4" a="1"/>
  <c r="M205" i="4" s="1"/>
  <c r="M206" i="4" a="1"/>
  <c r="M206" i="4" s="1"/>
  <c r="M207" i="4" a="1"/>
  <c r="M207" i="4"/>
  <c r="M208" i="4" a="1"/>
  <c r="M208" i="4" s="1"/>
  <c r="M209" i="4" a="1"/>
  <c r="M209" i="4"/>
  <c r="M210" i="4" a="1"/>
  <c r="M210" i="4" s="1"/>
  <c r="M211" i="4" a="1"/>
  <c r="M211" i="4"/>
  <c r="M212" i="4" a="1"/>
  <c r="M212" i="4" s="1"/>
  <c r="M213" i="4" a="1"/>
  <c r="M213" i="4" s="1"/>
  <c r="M214" i="4" a="1"/>
  <c r="M214" i="4" s="1"/>
  <c r="M215" i="4" a="1"/>
  <c r="M215" i="4"/>
  <c r="M216" i="4" a="1"/>
  <c r="M216" i="4"/>
  <c r="M217" i="4" a="1"/>
  <c r="M217" i="4" s="1"/>
  <c r="M218" i="4" a="1"/>
  <c r="M218" i="4" s="1"/>
  <c r="M219" i="4" a="1"/>
  <c r="M219" i="4"/>
  <c r="M220" i="4" a="1"/>
  <c r="M220" i="4" s="1"/>
  <c r="M221" i="4" a="1"/>
  <c r="M221" i="4"/>
  <c r="M222" i="4" a="1"/>
  <c r="M222" i="4"/>
  <c r="M223" i="4" a="1"/>
  <c r="M223" i="4"/>
  <c r="M224" i="4" a="1"/>
  <c r="M224" i="4" s="1"/>
  <c r="M225" i="4" a="1"/>
  <c r="M225" i="4" s="1"/>
  <c r="M226" i="4" a="1"/>
  <c r="M226" i="4" s="1"/>
  <c r="M227" i="4" a="1"/>
  <c r="M227" i="4" s="1"/>
  <c r="M228" i="4" a="1"/>
  <c r="M228" i="4"/>
  <c r="M229" i="4" a="1"/>
  <c r="M229" i="4"/>
  <c r="M230" i="4" a="1"/>
  <c r="M230" i="4"/>
  <c r="M231" i="4" a="1"/>
  <c r="M231" i="4"/>
  <c r="M232" i="4" a="1"/>
  <c r="M232" i="4" s="1"/>
  <c r="M233" i="4" a="1"/>
  <c r="M233" i="4" s="1"/>
  <c r="M234" i="4" a="1"/>
  <c r="M234" i="4" s="1"/>
  <c r="M235" i="4" a="1"/>
  <c r="M235" i="4"/>
  <c r="M236" i="4" a="1"/>
  <c r="M236" i="4"/>
  <c r="M237" i="4" a="1"/>
  <c r="M237" i="4"/>
  <c r="M238" i="4" a="1"/>
  <c r="M238" i="4" s="1"/>
  <c r="M239" i="4" a="1"/>
  <c r="M239" i="4"/>
  <c r="M240" i="4" a="1"/>
  <c r="M240" i="4" s="1"/>
  <c r="M241" i="4" a="1"/>
  <c r="M241" i="4" s="1"/>
  <c r="M242" i="4" a="1"/>
  <c r="M242" i="4"/>
  <c r="M243" i="4" a="1"/>
  <c r="M243" i="4"/>
  <c r="M244" i="4" a="1"/>
  <c r="M244" i="4" s="1"/>
  <c r="M245" i="4" a="1"/>
  <c r="M245" i="4" s="1"/>
  <c r="M246" i="4" a="1"/>
  <c r="M246" i="4"/>
  <c r="M247" i="4" a="1"/>
  <c r="M247" i="4" s="1"/>
  <c r="M248" i="4" a="1"/>
  <c r="M248" i="4" s="1"/>
  <c r="M249" i="4" a="1"/>
  <c r="M249" i="4" s="1"/>
  <c r="M250" i="4" a="1"/>
  <c r="M250" i="4" s="1"/>
  <c r="M251" i="4" a="1"/>
  <c r="M251" i="4"/>
  <c r="M252" i="4" a="1"/>
  <c r="M252" i="4"/>
  <c r="M253" i="4" a="1"/>
  <c r="M253" i="4"/>
  <c r="M254" i="4" a="1"/>
  <c r="M254" i="4" s="1"/>
  <c r="M255" i="4" a="1"/>
  <c r="M255" i="4" s="1"/>
  <c r="M256" i="4" a="1"/>
  <c r="M256" i="4" s="1"/>
  <c r="M257" i="4" a="1"/>
  <c r="M257" i="4" s="1"/>
  <c r="M258" i="4" a="1"/>
  <c r="M258" i="4" s="1"/>
  <c r="M259" i="4" a="1"/>
  <c r="M259" i="4"/>
  <c r="M260" i="4" a="1"/>
  <c r="M260" i="4"/>
  <c r="M261" i="4" a="1"/>
  <c r="M261" i="4" s="1"/>
  <c r="M262" i="4" a="1"/>
  <c r="M262" i="4" s="1"/>
  <c r="M263" i="4" a="1"/>
  <c r="M263" i="4" s="1"/>
  <c r="M264" i="4" a="1"/>
  <c r="M264" i="4" s="1"/>
  <c r="M265" i="4" a="1"/>
  <c r="M265" i="4" s="1"/>
  <c r="M266" i="4" a="1"/>
  <c r="M266" i="4"/>
  <c r="M267" i="4" a="1"/>
  <c r="M267" i="4"/>
  <c r="M268" i="4" a="1"/>
  <c r="M268" i="4" s="1"/>
  <c r="M269" i="4" a="1"/>
  <c r="M269" i="4" s="1"/>
  <c r="M270" i="4" a="1"/>
  <c r="M270" i="4" s="1"/>
  <c r="M271" i="4" a="1"/>
  <c r="M271" i="4" s="1"/>
  <c r="M272" i="4" a="1"/>
  <c r="M272" i="4" s="1"/>
  <c r="M273" i="4" a="1"/>
  <c r="M273" i="4"/>
  <c r="M274" i="4" a="1"/>
  <c r="M274" i="4" s="1"/>
  <c r="M275" i="4" a="1"/>
  <c r="M275" i="4" s="1"/>
  <c r="M276" i="4" a="1"/>
  <c r="M276" i="4"/>
  <c r="M277" i="4" a="1"/>
  <c r="M277" i="4"/>
  <c r="M278" i="4" a="1"/>
  <c r="M278" i="4"/>
  <c r="M279" i="4" a="1"/>
  <c r="M279" i="4" s="1"/>
  <c r="M280" i="4" a="1"/>
  <c r="M280" i="4" s="1"/>
  <c r="M281" i="4" a="1"/>
  <c r="M281" i="4"/>
  <c r="M282" i="4" a="1"/>
  <c r="M282" i="4" s="1"/>
  <c r="M283" i="4" a="1"/>
  <c r="M283" i="4" s="1"/>
  <c r="M284" i="4" a="1"/>
  <c r="M284" i="4" s="1"/>
  <c r="M285" i="4" a="1"/>
  <c r="M285" i="4" s="1"/>
  <c r="M286" i="4" a="1"/>
  <c r="M286" i="4" s="1"/>
  <c r="M287" i="4" a="1"/>
  <c r="M287" i="4" s="1"/>
  <c r="M288" i="4" a="1"/>
  <c r="M288" i="4"/>
  <c r="M289" i="4" a="1"/>
  <c r="M289" i="4"/>
  <c r="M290" i="4" a="1"/>
  <c r="M290" i="4" s="1"/>
  <c r="M291" i="4" a="1"/>
  <c r="M291" i="4" s="1"/>
  <c r="M292" i="4" a="1"/>
  <c r="M292" i="4" s="1"/>
  <c r="M293" i="4" a="1"/>
  <c r="M293" i="4"/>
  <c r="M294" i="4" a="1"/>
  <c r="M294" i="4" s="1"/>
  <c r="M295" i="4" a="1"/>
  <c r="M295" i="4" s="1"/>
  <c r="M296" i="4" a="1"/>
  <c r="M296" i="4"/>
  <c r="M297" i="4" a="1"/>
  <c r="M297" i="4" s="1"/>
  <c r="M298" i="4" a="1"/>
  <c r="M298" i="4" s="1"/>
  <c r="M299" i="4" a="1"/>
  <c r="M299" i="4" s="1"/>
  <c r="M300" i="4" a="1"/>
  <c r="M300" i="4" s="1"/>
  <c r="M301" i="4" a="1"/>
  <c r="M301" i="4"/>
  <c r="M302" i="4" a="1"/>
  <c r="M302" i="4" s="1"/>
  <c r="M303" i="4" a="1"/>
  <c r="M303" i="4" s="1"/>
  <c r="M304" i="4" a="1"/>
  <c r="M304" i="4" s="1"/>
  <c r="M305" i="4" a="1"/>
  <c r="M305" i="4" s="1"/>
  <c r="M306" i="4" a="1"/>
  <c r="M306" i="4"/>
  <c r="M307" i="4" a="1"/>
  <c r="M307" i="4"/>
  <c r="M308" i="4" a="1"/>
  <c r="M308" i="4" s="1"/>
  <c r="M309" i="4" a="1"/>
  <c r="M309" i="4"/>
  <c r="M310" i="4" a="1"/>
  <c r="M310" i="4" s="1"/>
  <c r="M311" i="4" a="1"/>
  <c r="M311" i="4"/>
  <c r="M312" i="4" a="1"/>
  <c r="M312" i="4"/>
  <c r="M313" i="4" a="1"/>
  <c r="M313" i="4"/>
  <c r="M314" i="4" a="1"/>
  <c r="M314" i="4" s="1"/>
  <c r="M315" i="4" a="1"/>
  <c r="M315" i="4" s="1"/>
  <c r="M316" i="4" a="1"/>
  <c r="M316" i="4" s="1"/>
  <c r="M317" i="4" a="1"/>
  <c r="M317" i="4" s="1"/>
  <c r="M318" i="4" a="1"/>
  <c r="M318" i="4" s="1"/>
  <c r="M319" i="4" a="1"/>
  <c r="M319" i="4" s="1"/>
  <c r="M320" i="4" a="1"/>
  <c r="M320" i="4"/>
  <c r="M321" i="4" a="1"/>
  <c r="M321" i="4"/>
  <c r="M322" i="4" a="1"/>
  <c r="M322" i="4" s="1"/>
  <c r="M323" i="4" a="1"/>
  <c r="M323" i="4"/>
  <c r="M324" i="4" a="1"/>
  <c r="M324" i="4" s="1"/>
  <c r="M325" i="4" a="1"/>
  <c r="M325" i="4" s="1"/>
  <c r="M326" i="4" a="1"/>
  <c r="M326" i="4"/>
  <c r="M327" i="4" a="1"/>
  <c r="M327" i="4"/>
  <c r="M328" i="4" a="1"/>
  <c r="M328" i="4" s="1"/>
  <c r="M329" i="4" a="1"/>
  <c r="M329" i="4" s="1"/>
  <c r="M330" i="4" a="1"/>
  <c r="M330" i="4" s="1"/>
  <c r="M331" i="4" a="1"/>
  <c r="M331" i="4"/>
  <c r="M332" i="4" a="1"/>
  <c r="M332" i="4" s="1"/>
  <c r="M333" i="4" a="1"/>
  <c r="M333" i="4" s="1"/>
  <c r="M334" i="4" a="1"/>
  <c r="M334" i="4" s="1"/>
  <c r="M335" i="4" a="1"/>
  <c r="M335" i="4"/>
  <c r="M336" i="4" a="1"/>
  <c r="M336" i="4" s="1"/>
  <c r="M337" i="4" a="1"/>
  <c r="M337" i="4"/>
  <c r="M338" i="4" a="1"/>
  <c r="M338" i="4"/>
  <c r="M339" i="4" a="1"/>
  <c r="M339" i="4" s="1"/>
  <c r="M340" i="4" a="1"/>
  <c r="M340" i="4" s="1"/>
  <c r="M341" i="4" a="1"/>
  <c r="M341" i="4"/>
  <c r="M342" i="4" a="1"/>
  <c r="M342" i="4"/>
  <c r="M343" i="4" a="1"/>
  <c r="M343" i="4" s="1"/>
  <c r="M344" i="4" a="1"/>
  <c r="M344" i="4"/>
  <c r="M345" i="4" a="1"/>
  <c r="M345" i="4"/>
  <c r="M346" i="4" a="1"/>
  <c r="M346" i="4" s="1"/>
  <c r="M347" i="4" a="1"/>
  <c r="M347" i="4" s="1"/>
  <c r="M348" i="4" a="1"/>
  <c r="M348" i="4"/>
  <c r="M349" i="4" a="1"/>
  <c r="M349" i="4"/>
  <c r="M350" i="4" a="1"/>
  <c r="M350" i="4"/>
  <c r="M351" i="4" a="1"/>
  <c r="M351" i="4" s="1"/>
  <c r="M352" i="4" a="1"/>
  <c r="M352" i="4" s="1"/>
  <c r="M353" i="4" a="1"/>
  <c r="M353" i="4"/>
  <c r="M354" i="4" a="1"/>
  <c r="M354" i="4" s="1"/>
  <c r="M355" i="4" a="1"/>
  <c r="M355" i="4" s="1"/>
  <c r="M356" i="4" a="1"/>
  <c r="M356" i="4" s="1"/>
  <c r="M357" i="4" a="1"/>
  <c r="M357" i="4"/>
  <c r="M358" i="4" a="1"/>
  <c r="M358" i="4" s="1"/>
  <c r="M359" i="4" a="1"/>
  <c r="M359" i="4" s="1"/>
  <c r="M360" i="4" a="1"/>
  <c r="M360" i="4"/>
  <c r="M361" i="4" a="1"/>
  <c r="M361" i="4" s="1"/>
  <c r="M362" i="4" a="1"/>
  <c r="M362" i="4"/>
  <c r="M363" i="4" a="1"/>
  <c r="M363" i="4" s="1"/>
  <c r="M364" i="4" a="1"/>
  <c r="M364" i="4" s="1"/>
  <c r="M365" i="4" a="1"/>
  <c r="M365" i="4"/>
  <c r="M366" i="4" a="1"/>
  <c r="M366" i="4" s="1"/>
  <c r="M367" i="4" a="1"/>
  <c r="M367" i="4"/>
  <c r="M368" i="4" a="1"/>
  <c r="M368" i="4"/>
  <c r="M369" i="4" a="1"/>
  <c r="M369" i="4" s="1"/>
  <c r="M370" i="4" a="1"/>
  <c r="M370" i="4" s="1"/>
  <c r="M371" i="4" a="1"/>
  <c r="M371" i="4" s="1"/>
  <c r="M372" i="4" a="1"/>
  <c r="M372" i="4" s="1"/>
  <c r="M373" i="4" a="1"/>
  <c r="M373" i="4" s="1"/>
  <c r="M374" i="4" a="1"/>
  <c r="M374" i="4"/>
  <c r="M375" i="4" a="1"/>
  <c r="M375" i="4"/>
  <c r="M376" i="4" a="1"/>
  <c r="M376" i="4" s="1"/>
  <c r="M377" i="4" a="1"/>
  <c r="M377" i="4" s="1"/>
  <c r="M378" i="4" a="1"/>
  <c r="M378" i="4"/>
  <c r="M379" i="4" a="1"/>
  <c r="M379" i="4" s="1"/>
  <c r="M380" i="4" a="1"/>
  <c r="M380" i="4" s="1"/>
  <c r="M381" i="4" a="1"/>
  <c r="M381" i="4"/>
  <c r="M382" i="4" a="1"/>
  <c r="M382" i="4" s="1"/>
  <c r="M383" i="4" a="1"/>
  <c r="M383" i="4"/>
  <c r="M384" i="4" a="1"/>
  <c r="M384" i="4"/>
  <c r="M385" i="4" a="1"/>
  <c r="M385" i="4"/>
  <c r="M386" i="4" a="1"/>
  <c r="M386" i="4" s="1"/>
  <c r="M387" i="4" a="1"/>
  <c r="M387" i="4"/>
  <c r="M388" i="4" a="1"/>
  <c r="M388" i="4" s="1"/>
  <c r="M389" i="4" a="1"/>
  <c r="M389" i="4" s="1"/>
  <c r="M390" i="4" a="1"/>
  <c r="M390" i="4"/>
  <c r="M391" i="4" a="1"/>
  <c r="M391" i="4"/>
  <c r="M392" i="4" a="1"/>
  <c r="M392" i="4"/>
  <c r="M393" i="4" a="1"/>
  <c r="M393" i="4" s="1"/>
  <c r="M394" i="4" a="1"/>
  <c r="M394" i="4" s="1"/>
  <c r="M395" i="4" a="1"/>
  <c r="M395" i="4"/>
  <c r="M396" i="4" a="1"/>
  <c r="M396" i="4"/>
  <c r="M397" i="4" a="1"/>
  <c r="M397" i="4" s="1"/>
  <c r="M398" i="4" a="1"/>
  <c r="M398" i="4"/>
  <c r="M399" i="4" a="1"/>
  <c r="M399" i="4"/>
  <c r="M400" i="4" a="1"/>
  <c r="M400" i="4" s="1"/>
  <c r="M401" i="4" a="1"/>
  <c r="M401" i="4" s="1"/>
  <c r="M402" i="4" a="1"/>
  <c r="M402" i="4" s="1"/>
  <c r="M403" i="4" a="1"/>
  <c r="M403" i="4" s="1"/>
  <c r="M404" i="4" a="1"/>
  <c r="M404" i="4" s="1"/>
  <c r="M405" i="4" a="1"/>
  <c r="M405" i="4"/>
  <c r="M406" i="4" a="1"/>
  <c r="M406" i="4" s="1"/>
  <c r="M407" i="4" a="1"/>
  <c r="M407" i="4"/>
  <c r="M408" i="4" a="1"/>
  <c r="M408" i="4"/>
  <c r="M409" i="4" a="1"/>
  <c r="M409" i="4" s="1"/>
  <c r="M410" i="4" a="1"/>
  <c r="M410" i="4" s="1"/>
  <c r="M411" i="4" a="1"/>
  <c r="M411" i="4"/>
  <c r="M412" i="4" a="1"/>
  <c r="M412" i="4" s="1"/>
  <c r="M413" i="4" a="1"/>
  <c r="M413" i="4"/>
  <c r="M414" i="4" a="1"/>
  <c r="M414" i="4"/>
  <c r="M415" i="4" a="1"/>
  <c r="M415" i="4" s="1"/>
  <c r="M416" i="4" a="1"/>
  <c r="M416" i="4"/>
  <c r="M417" i="4" a="1"/>
  <c r="M417" i="4" s="1"/>
  <c r="M418" i="4" a="1"/>
  <c r="M418" i="4" s="1"/>
  <c r="M419" i="4" a="1"/>
  <c r="M419" i="4"/>
  <c r="M420" i="4" a="1"/>
  <c r="M420" i="4"/>
  <c r="M421" i="4" a="1"/>
  <c r="M421" i="4"/>
  <c r="M422" i="4" a="1"/>
  <c r="M422" i="4"/>
  <c r="M423" i="4" a="1"/>
  <c r="M423" i="4"/>
  <c r="M424" i="4" a="1"/>
  <c r="M424" i="4" s="1"/>
  <c r="M425" i="4" a="1"/>
  <c r="M425" i="4" s="1"/>
  <c r="M426" i="4" a="1"/>
  <c r="M426" i="4"/>
  <c r="M427" i="4" a="1"/>
  <c r="M427" i="4"/>
  <c r="M428" i="4" a="1"/>
  <c r="M428" i="4" s="1"/>
  <c r="M429" i="4" a="1"/>
  <c r="M429" i="4"/>
  <c r="M430" i="4" a="1"/>
  <c r="M430" i="4" s="1"/>
  <c r="M431" i="4" a="1"/>
  <c r="M431" i="4" s="1"/>
  <c r="M432" i="4" a="1"/>
  <c r="M432" i="4" s="1"/>
  <c r="M433" i="4" a="1"/>
  <c r="M433" i="4"/>
  <c r="M434" i="4" a="1"/>
  <c r="M434" i="4"/>
  <c r="M435" i="4" a="1"/>
  <c r="M435" i="4"/>
  <c r="M436" i="4" a="1"/>
  <c r="M436" i="4" s="1"/>
  <c r="M437" i="4" a="1"/>
  <c r="M437" i="4"/>
  <c r="M438" i="4" a="1"/>
  <c r="M438" i="4" s="1"/>
  <c r="M439" i="4" a="1"/>
  <c r="M439" i="4" s="1"/>
  <c r="M440" i="4" a="1"/>
  <c r="M440" i="4"/>
  <c r="M441" i="4" a="1"/>
  <c r="M441" i="4" s="1"/>
  <c r="M442" i="4" a="1"/>
  <c r="M442" i="4" s="1"/>
  <c r="M443" i="4" a="1"/>
  <c r="M443" i="4"/>
  <c r="M444" i="4" a="1"/>
  <c r="M444" i="4"/>
  <c r="M445" i="4" a="1"/>
  <c r="M445" i="4" s="1"/>
  <c r="M446" i="4" a="1"/>
  <c r="M446" i="4" s="1"/>
  <c r="M447" i="4" a="1"/>
  <c r="M447" i="4" s="1"/>
  <c r="M448" i="4" a="1"/>
  <c r="M448" i="4" s="1"/>
  <c r="M449" i="4" a="1"/>
  <c r="M449" i="4"/>
  <c r="M450" i="4" a="1"/>
  <c r="M450" i="4"/>
  <c r="M451" i="4" a="1"/>
  <c r="M451" i="4"/>
  <c r="M452" i="4" a="1"/>
  <c r="M452" i="4" s="1"/>
  <c r="M453" i="4" a="1"/>
  <c r="M453" i="4" s="1"/>
  <c r="M454" i="4" a="1"/>
  <c r="M454" i="4" s="1"/>
  <c r="M455" i="4" a="1"/>
  <c r="M455" i="4" s="1"/>
  <c r="M456" i="4" a="1"/>
  <c r="M456" i="4"/>
  <c r="M457" i="4" a="1"/>
  <c r="M457" i="4"/>
  <c r="M458" i="4" a="1"/>
  <c r="M458" i="4" s="1"/>
  <c r="M459" i="4" a="1"/>
  <c r="M459" i="4" s="1"/>
  <c r="M460" i="4" a="1"/>
  <c r="M460" i="4" s="1"/>
  <c r="M461" i="4" a="1"/>
  <c r="M461" i="4" s="1"/>
  <c r="M462" i="4" a="1"/>
  <c r="M462" i="4"/>
  <c r="M463" i="4" a="1"/>
  <c r="M463" i="4" s="1"/>
  <c r="M464" i="4" a="1"/>
  <c r="M464" i="4"/>
  <c r="M465" i="4" a="1"/>
  <c r="M465" i="4" s="1"/>
  <c r="M466" i="4" a="1"/>
  <c r="M466" i="4" s="1"/>
  <c r="M467" i="4" a="1"/>
  <c r="M467" i="4" s="1"/>
  <c r="M468" i="4" a="1"/>
  <c r="M468" i="4"/>
  <c r="M469" i="4" a="1"/>
  <c r="M469" i="4" s="1"/>
  <c r="M470" i="4" a="1"/>
  <c r="M470" i="4"/>
  <c r="M471" i="4" a="1"/>
  <c r="M471" i="4" s="1"/>
  <c r="M472" i="4" a="1"/>
  <c r="M472" i="4" s="1"/>
  <c r="M473" i="4" a="1"/>
  <c r="M473" i="4"/>
  <c r="M474" i="4" a="1"/>
  <c r="M474" i="4" s="1"/>
  <c r="M475" i="4" a="1"/>
  <c r="M475" i="4"/>
  <c r="M476" i="4" a="1"/>
  <c r="M476" i="4" s="1"/>
  <c r="M477" i="4" a="1"/>
  <c r="M477" i="4"/>
  <c r="M478" i="4" a="1"/>
  <c r="M478" i="4" s="1"/>
  <c r="M479" i="4" a="1"/>
  <c r="M479" i="4" s="1"/>
  <c r="M480" i="4" a="1"/>
  <c r="M480" i="4" s="1"/>
  <c r="M481" i="4" a="1"/>
  <c r="M481" i="4" s="1"/>
  <c r="M482" i="4" a="1"/>
  <c r="M482" i="4"/>
  <c r="M483" i="4" a="1"/>
  <c r="M483" i="4"/>
  <c r="M484" i="4" a="1"/>
  <c r="M484" i="4" s="1"/>
  <c r="M485" i="4" a="1"/>
  <c r="M485" i="4"/>
  <c r="M486" i="4" a="1"/>
  <c r="M486" i="4" s="1"/>
  <c r="M487" i="4" a="1"/>
  <c r="M487" i="4" s="1"/>
  <c r="M488" i="4" a="1"/>
  <c r="M488" i="4" s="1"/>
  <c r="M489" i="4" a="1"/>
  <c r="M489" i="4"/>
  <c r="M490" i="4" a="1"/>
  <c r="M490" i="4" s="1"/>
  <c r="M491" i="4" a="1"/>
  <c r="M491" i="4"/>
  <c r="M492" i="4" a="1"/>
  <c r="M492" i="4"/>
  <c r="M493" i="4" a="1"/>
  <c r="M493" i="4"/>
  <c r="M494" i="4" a="1"/>
  <c r="M494" i="4"/>
  <c r="M495" i="4" a="1"/>
  <c r="M495" i="4" s="1"/>
  <c r="M496" i="4" a="1"/>
  <c r="M496" i="4" s="1"/>
  <c r="M497" i="4" a="1"/>
  <c r="M497" i="4"/>
  <c r="M498" i="4" a="1"/>
  <c r="M498" i="4" s="1"/>
  <c r="M499" i="4" a="1"/>
  <c r="M499" i="4" s="1"/>
  <c r="M500" i="4" a="1"/>
  <c r="M500" i="4" s="1"/>
  <c r="M501" i="4" a="1"/>
  <c r="M501" i="4"/>
  <c r="M502" i="4" a="1"/>
  <c r="M502" i="4" s="1"/>
  <c r="M503" i="4" a="1"/>
  <c r="M503" i="4" s="1"/>
  <c r="M504" i="4" a="1"/>
  <c r="M504" i="4"/>
  <c r="M505" i="4" a="1"/>
  <c r="M505" i="4"/>
  <c r="M506" i="4" a="1"/>
  <c r="M506" i="4" s="1"/>
  <c r="M507" i="4" a="1"/>
  <c r="M507" i="4"/>
  <c r="M508" i="4" a="1"/>
  <c r="M508" i="4" s="1"/>
  <c r="M509" i="4" a="1"/>
  <c r="M509" i="4" s="1"/>
  <c r="M510" i="4" a="1"/>
  <c r="M510" i="4"/>
  <c r="M511" i="4" a="1"/>
  <c r="M511" i="4" s="1"/>
  <c r="M512" i="4" a="1"/>
  <c r="M512" i="4"/>
  <c r="M513" i="4" a="1"/>
  <c r="M513" i="4" s="1"/>
  <c r="M514" i="4" a="1"/>
  <c r="M514" i="4"/>
  <c r="M515" i="4" a="1"/>
  <c r="M515" i="4"/>
  <c r="M516" i="4" a="1"/>
  <c r="M516" i="4" s="1"/>
  <c r="M517" i="4" a="1"/>
  <c r="M517" i="4"/>
  <c r="M518" i="4" a="1"/>
  <c r="M518" i="4" s="1"/>
  <c r="M519" i="4" a="1"/>
  <c r="M519" i="4" s="1"/>
  <c r="M520" i="4" a="1"/>
  <c r="M520" i="4" s="1"/>
  <c r="M521" i="4" a="1"/>
  <c r="M521" i="4"/>
  <c r="M522" i="4" a="1"/>
  <c r="M522" i="4"/>
  <c r="M523" i="4" a="1"/>
  <c r="M523" i="4" s="1"/>
  <c r="M524" i="4" a="1"/>
  <c r="M524" i="4"/>
  <c r="M525" i="4" a="1"/>
  <c r="M525" i="4" s="1"/>
  <c r="M526" i="4" a="1"/>
  <c r="M526" i="4" s="1"/>
  <c r="M527" i="4" a="1"/>
  <c r="M527" i="4" s="1"/>
  <c r="M528" i="4" a="1"/>
  <c r="M528" i="4"/>
  <c r="M529" i="4" a="1"/>
  <c r="M529" i="4"/>
  <c r="M530" i="4" a="1"/>
  <c r="M530" i="4"/>
  <c r="M531" i="4" a="1"/>
  <c r="M531" i="4" s="1"/>
  <c r="M532" i="4" a="1"/>
  <c r="M532" i="4"/>
  <c r="M533" i="4" a="1"/>
  <c r="M533" i="4" s="1"/>
  <c r="M534" i="4" a="1"/>
  <c r="M534" i="4"/>
  <c r="M535" i="4" a="1"/>
  <c r="M535" i="4"/>
  <c r="M536" i="4" a="1"/>
  <c r="M536" i="4" s="1"/>
  <c r="M537" i="4" a="1"/>
  <c r="M537" i="4" s="1"/>
  <c r="M538" i="4" a="1"/>
  <c r="M538" i="4" s="1"/>
  <c r="M539" i="4" a="1"/>
  <c r="M539" i="4" s="1"/>
  <c r="M540" i="4" a="1"/>
  <c r="M540" i="4"/>
  <c r="M541" i="4" a="1"/>
  <c r="M541" i="4" s="1"/>
  <c r="M542" i="4" a="1"/>
  <c r="M542" i="4" s="1"/>
  <c r="M543" i="4" a="1"/>
  <c r="M543" i="4" s="1"/>
  <c r="M544" i="4" a="1"/>
  <c r="M544" i="4"/>
  <c r="M545" i="4" a="1"/>
  <c r="M545" i="4"/>
  <c r="M546" i="4" a="1"/>
  <c r="M546" i="4"/>
  <c r="M547" i="4" a="1"/>
  <c r="M547" i="4"/>
  <c r="M548" i="4" a="1"/>
  <c r="M548" i="4" s="1"/>
  <c r="M549" i="4" a="1"/>
  <c r="M549" i="4" s="1"/>
  <c r="M550" i="4" a="1"/>
  <c r="M550" i="4" s="1"/>
  <c r="M551" i="4" a="1"/>
  <c r="M551" i="4"/>
  <c r="M552" i="4" a="1"/>
  <c r="M552" i="4" s="1"/>
  <c r="M553" i="4" a="1"/>
  <c r="M553" i="4" s="1"/>
  <c r="M554" i="4" a="1"/>
  <c r="M554" i="4"/>
  <c r="M555" i="4" a="1"/>
  <c r="M555" i="4" s="1"/>
  <c r="M556" i="4" a="1"/>
  <c r="M556" i="4"/>
  <c r="M557" i="4" a="1"/>
  <c r="M557" i="4" s="1"/>
  <c r="M558" i="4" a="1"/>
  <c r="M558" i="4"/>
  <c r="M559" i="4" a="1"/>
  <c r="M559" i="4"/>
  <c r="M560" i="4" a="1"/>
  <c r="M560" i="4" s="1"/>
  <c r="M561" i="4" a="1"/>
  <c r="M561" i="4" s="1"/>
  <c r="M562" i="4" a="1"/>
  <c r="M562" i="4"/>
  <c r="M563" i="4" a="1"/>
  <c r="M563" i="4"/>
  <c r="M564" i="4" a="1"/>
  <c r="M564" i="4" s="1"/>
  <c r="M565" i="4" a="1"/>
  <c r="M565" i="4" s="1"/>
  <c r="M566" i="4" a="1"/>
  <c r="M566" i="4"/>
  <c r="M567" i="4" a="1"/>
  <c r="M567" i="4" s="1"/>
  <c r="M568" i="4" a="1"/>
  <c r="M568" i="4"/>
  <c r="M569" i="4" a="1"/>
  <c r="M569" i="4"/>
  <c r="M570" i="4" a="1"/>
  <c r="M570" i="4"/>
  <c r="M571" i="4" a="1"/>
  <c r="M571" i="4" s="1"/>
  <c r="M572" i="4" a="1"/>
  <c r="M572" i="4"/>
  <c r="M573" i="4" a="1"/>
  <c r="M573" i="4" s="1"/>
  <c r="M574" i="4" a="1"/>
  <c r="M574" i="4" s="1"/>
  <c r="M575" i="4" a="1"/>
  <c r="M575" i="4"/>
  <c r="M576" i="4" a="1"/>
  <c r="M576" i="4" s="1"/>
  <c r="M577" i="4" a="1"/>
  <c r="M577" i="4" s="1"/>
  <c r="M578" i="4" a="1"/>
  <c r="M578" i="4" s="1"/>
  <c r="M579" i="4" a="1"/>
  <c r="M579" i="4" s="1"/>
  <c r="M580" i="4" a="1"/>
  <c r="M580" i="4" s="1"/>
  <c r="M581" i="4" a="1"/>
  <c r="M581" i="4"/>
  <c r="M582" i="4" a="1"/>
  <c r="M582" i="4" s="1"/>
  <c r="M583" i="4" a="1"/>
  <c r="M583" i="4"/>
  <c r="M584" i="4" a="1"/>
  <c r="M584" i="4" s="1"/>
  <c r="M585" i="4" a="1"/>
  <c r="M585" i="4" s="1"/>
  <c r="M586" i="4" a="1"/>
  <c r="M586" i="4"/>
  <c r="M587" i="4" a="1"/>
  <c r="M587" i="4"/>
  <c r="M588" i="4" a="1"/>
  <c r="M588" i="4" s="1"/>
  <c r="M589" i="4" a="1"/>
  <c r="M589" i="4" s="1"/>
  <c r="M590" i="4" a="1"/>
  <c r="M590" i="4"/>
  <c r="M591" i="4" a="1"/>
  <c r="M591" i="4" s="1"/>
  <c r="M592" i="4" a="1"/>
  <c r="M592" i="4"/>
  <c r="M593" i="4" a="1"/>
  <c r="M593" i="4"/>
  <c r="M594" i="4" a="1"/>
  <c r="M594" i="4"/>
  <c r="M595" i="4" a="1"/>
  <c r="M595" i="4" s="1"/>
  <c r="M596" i="4" a="1"/>
  <c r="M596" i="4"/>
  <c r="M597" i="4" a="1"/>
  <c r="M597" i="4" s="1"/>
  <c r="M598" i="4" a="1"/>
  <c r="M598" i="4" s="1"/>
  <c r="M599" i="4" a="1"/>
  <c r="M599" i="4"/>
  <c r="M600" i="4" a="1"/>
  <c r="M600" i="4"/>
  <c r="M601" i="4" a="1"/>
  <c r="M601" i="4"/>
  <c r="M602" i="4" a="1"/>
  <c r="M602" i="4" s="1"/>
  <c r="M603" i="4" a="1"/>
  <c r="M603" i="4" s="1"/>
  <c r="M604" i="4" a="1"/>
  <c r="M604" i="4"/>
  <c r="M605" i="4" a="1"/>
  <c r="M605" i="4"/>
  <c r="M606" i="4" a="1"/>
  <c r="M606" i="4"/>
  <c r="M607" i="4" a="1"/>
  <c r="M607" i="4"/>
  <c r="M608" i="4" a="1"/>
  <c r="M608" i="4" s="1"/>
  <c r="M609" i="4" a="1"/>
  <c r="M609" i="4" s="1"/>
  <c r="M610" i="4" a="1"/>
  <c r="M610" i="4"/>
  <c r="M611" i="4" a="1"/>
  <c r="M611" i="4" s="1"/>
  <c r="M612" i="4" a="1"/>
  <c r="M612" i="4"/>
  <c r="M613" i="4" a="1"/>
  <c r="M613" i="4"/>
  <c r="M614" i="4" a="1"/>
  <c r="M614" i="4"/>
  <c r="M615" i="4" a="1"/>
  <c r="M615" i="4" s="1"/>
  <c r="M616" i="4" a="1"/>
  <c r="M616" i="4" s="1"/>
  <c r="M617" i="4" a="1"/>
  <c r="M617" i="4"/>
  <c r="M618" i="4" a="1"/>
  <c r="M618" i="4" s="1"/>
  <c r="M619" i="4" a="1"/>
  <c r="M619" i="4"/>
  <c r="M620" i="4" a="1"/>
  <c r="M620" i="4"/>
  <c r="M621" i="4" a="1"/>
  <c r="M621" i="4" s="1"/>
  <c r="M622" i="4" a="1"/>
  <c r="M622" i="4"/>
  <c r="M623" i="4" a="1"/>
  <c r="M623" i="4" s="1"/>
  <c r="M624" i="4" a="1"/>
  <c r="M624" i="4" s="1"/>
  <c r="M625" i="4" a="1"/>
  <c r="M625" i="4" s="1"/>
  <c r="M626" i="4" a="1"/>
  <c r="M626" i="4" s="1"/>
  <c r="M627" i="4" a="1"/>
  <c r="M627" i="4" s="1"/>
  <c r="M628" i="4" a="1"/>
  <c r="M628" i="4"/>
  <c r="M629" i="4" a="1"/>
  <c r="M629" i="4"/>
  <c r="M630" i="4" a="1"/>
  <c r="M630" i="4"/>
  <c r="M631" i="4" a="1"/>
  <c r="M631" i="4" s="1"/>
  <c r="M632" i="4" a="1"/>
  <c r="M632" i="4"/>
  <c r="M633" i="4" a="1"/>
  <c r="M633" i="4" s="1"/>
  <c r="M634" i="4" a="1"/>
  <c r="M634" i="4"/>
  <c r="M635" i="4" a="1"/>
  <c r="M635" i="4"/>
  <c r="M636" i="4" a="1"/>
  <c r="M636" i="4"/>
  <c r="M637" i="4" a="1"/>
  <c r="M637" i="4" s="1"/>
  <c r="M638" i="4" a="1"/>
  <c r="M638" i="4" s="1"/>
  <c r="M639" i="4" a="1"/>
  <c r="M639" i="4" s="1"/>
  <c r="M640" i="4" a="1"/>
  <c r="M640" i="4" s="1"/>
  <c r="M641" i="4" a="1"/>
  <c r="M641" i="4"/>
  <c r="M642" i="4" a="1"/>
  <c r="M642" i="4"/>
  <c r="M643" i="4" a="1"/>
  <c r="M643" i="4"/>
  <c r="M644" i="4" a="1"/>
  <c r="M644" i="4"/>
  <c r="M645" i="4" a="1"/>
  <c r="M645" i="4" s="1"/>
  <c r="M646" i="4" a="1"/>
  <c r="M646" i="4" s="1"/>
  <c r="M647" i="4" a="1"/>
  <c r="M647" i="4"/>
  <c r="M648" i="4" a="1"/>
  <c r="M648" i="4"/>
  <c r="M649" i="4" a="1"/>
  <c r="M649" i="4"/>
  <c r="M650" i="4" a="1"/>
  <c r="M650" i="4" s="1"/>
  <c r="M651" i="4" a="1"/>
  <c r="M651" i="4" s="1"/>
  <c r="M652" i="4" a="1"/>
  <c r="M652" i="4"/>
  <c r="M653" i="4" a="1"/>
  <c r="M653" i="4" s="1"/>
  <c r="M654" i="4" a="1"/>
  <c r="M654" i="4"/>
  <c r="M655" i="4" a="1"/>
  <c r="M655" i="4"/>
  <c r="M656" i="4" a="1"/>
  <c r="M656" i="4"/>
  <c r="M657" i="4" a="1"/>
  <c r="M657" i="4" s="1"/>
  <c r="M658" i="4" a="1"/>
  <c r="M658" i="4"/>
  <c r="M659" i="4" a="1"/>
  <c r="M659" i="4" s="1"/>
  <c r="M660" i="4" a="1"/>
  <c r="M660" i="4" s="1"/>
  <c r="M661" i="4" a="1"/>
  <c r="M661" i="4" s="1"/>
  <c r="M662" i="4" a="1"/>
  <c r="M662" i="4"/>
  <c r="M663" i="4" a="1"/>
  <c r="M663" i="4" s="1"/>
  <c r="M664" i="4" a="1"/>
  <c r="M664" i="4"/>
  <c r="M665" i="4" a="1"/>
  <c r="M665" i="4"/>
  <c r="M666" i="4" a="1"/>
  <c r="M666" i="4"/>
  <c r="M667" i="4" a="1"/>
  <c r="M667" i="4" s="1"/>
  <c r="M668" i="4" a="1"/>
  <c r="M668" i="4" s="1"/>
  <c r="M669" i="4" a="1"/>
  <c r="M669" i="4" s="1"/>
  <c r="M670" i="4" a="1"/>
  <c r="M670" i="4" s="1"/>
  <c r="M671" i="4" a="1"/>
  <c r="M671" i="4"/>
  <c r="M672" i="4" a="1"/>
  <c r="M672" i="4"/>
  <c r="M673" i="4" a="1"/>
  <c r="M673" i="4"/>
  <c r="M674" i="4" a="1"/>
  <c r="M674" i="4" s="1"/>
  <c r="M675" i="4" a="1"/>
  <c r="M675" i="4" s="1"/>
  <c r="M676" i="4" a="1"/>
  <c r="M676" i="4" s="1"/>
  <c r="M677" i="4" a="1"/>
  <c r="M677" i="4"/>
  <c r="M678" i="4" a="1"/>
  <c r="M678" i="4"/>
  <c r="M679" i="4" a="1"/>
  <c r="M679" i="4" s="1"/>
  <c r="M680" i="4" a="1"/>
  <c r="M680" i="4"/>
  <c r="M681" i="4" a="1"/>
  <c r="M681" i="4" s="1"/>
  <c r="M682" i="4" a="1"/>
  <c r="M682" i="4" s="1"/>
  <c r="M683" i="4" a="1"/>
  <c r="M683" i="4" s="1"/>
  <c r="M684" i="4" a="1"/>
  <c r="M684" i="4" s="1"/>
  <c r="M685" i="4" a="1"/>
  <c r="M685" i="4"/>
  <c r="M686" i="4" a="1"/>
  <c r="M686" i="4" s="1"/>
  <c r="M687" i="4" a="1"/>
  <c r="M687" i="4" s="1"/>
  <c r="M688" i="4" a="1"/>
  <c r="M688" i="4"/>
  <c r="M689" i="4" a="1"/>
  <c r="M689" i="4" s="1"/>
  <c r="M690" i="4" a="1"/>
  <c r="M690" i="4" s="1"/>
  <c r="M691" i="4" a="1"/>
  <c r="M691" i="4"/>
  <c r="M692" i="4" a="1"/>
  <c r="M692" i="4" s="1"/>
  <c r="M693" i="4" a="1"/>
  <c r="M693" i="4" s="1"/>
  <c r="M694" i="4" a="1"/>
  <c r="M694" i="4"/>
  <c r="M695" i="4" a="1"/>
  <c r="M695" i="4"/>
  <c r="M696" i="4" a="1"/>
  <c r="M696" i="4" s="1"/>
  <c r="M697" i="4" a="1"/>
  <c r="M697" i="4" s="1"/>
  <c r="M698" i="4" a="1"/>
  <c r="M698" i="4"/>
  <c r="M699" i="4" a="1"/>
  <c r="M699" i="4" s="1"/>
  <c r="M700" i="4" a="1"/>
  <c r="M700" i="4" s="1"/>
  <c r="M701" i="4" a="1"/>
  <c r="M701" i="4"/>
  <c r="M702" i="4" a="1"/>
  <c r="M702" i="4"/>
  <c r="M703" i="4" a="1"/>
  <c r="M703" i="4" s="1"/>
  <c r="M704" i="4" a="1"/>
  <c r="M704" i="4"/>
  <c r="M705" i="4" a="1"/>
  <c r="M705" i="4" s="1"/>
  <c r="M706" i="4" a="1"/>
  <c r="M706" i="4"/>
  <c r="M707" i="4" a="1"/>
  <c r="M707" i="4" s="1"/>
  <c r="M708" i="4" a="1"/>
  <c r="M708" i="4"/>
  <c r="M709" i="4" a="1"/>
  <c r="M709" i="4" s="1"/>
  <c r="M710" i="4" a="1"/>
  <c r="M710" i="4" s="1"/>
  <c r="M711" i="4" a="1"/>
  <c r="M711" i="4" s="1"/>
  <c r="M712" i="4" a="1"/>
  <c r="M712" i="4"/>
  <c r="M713" i="4" a="1"/>
  <c r="M713" i="4"/>
  <c r="M714" i="4" a="1"/>
  <c r="M714" i="4"/>
  <c r="M715" i="4" a="1"/>
  <c r="M715" i="4" s="1"/>
  <c r="M716" i="4" a="1"/>
  <c r="M716" i="4"/>
  <c r="M717" i="4" a="1"/>
  <c r="M717" i="4" s="1"/>
  <c r="M718" i="4" a="1"/>
  <c r="M718" i="4"/>
  <c r="M719" i="4" a="1"/>
  <c r="M719" i="4" s="1"/>
  <c r="M720" i="4" a="1"/>
  <c r="M720" i="4" s="1"/>
  <c r="M721" i="4" a="1"/>
  <c r="M721" i="4"/>
  <c r="M722" i="4" a="1"/>
  <c r="M722" i="4" s="1"/>
  <c r="M723" i="4" a="1"/>
  <c r="M723" i="4" s="1"/>
  <c r="M724" i="4" a="1"/>
  <c r="M724" i="4"/>
  <c r="M725" i="4" a="1"/>
  <c r="M725" i="4"/>
  <c r="M726" i="4" a="1"/>
  <c r="M726" i="4"/>
  <c r="M727" i="4" a="1"/>
  <c r="M727" i="4" s="1"/>
  <c r="M728" i="4" a="1"/>
  <c r="M728" i="4"/>
  <c r="M729" i="4" a="1"/>
  <c r="M729" i="4" s="1"/>
  <c r="M730" i="4" a="1"/>
  <c r="M730" i="4" s="1"/>
  <c r="M731" i="4" a="1"/>
  <c r="M731" i="4"/>
  <c r="M732" i="4" a="1"/>
  <c r="M732" i="4"/>
  <c r="M733" i="4" a="1"/>
  <c r="M733" i="4"/>
  <c r="M734" i="4" a="1"/>
  <c r="M734" i="4"/>
  <c r="M735" i="4" a="1"/>
  <c r="M735" i="4" s="1"/>
  <c r="M736" i="4" a="1"/>
  <c r="M736" i="4"/>
  <c r="M737" i="4" a="1"/>
  <c r="M737" i="4" s="1"/>
  <c r="M738" i="4" a="1"/>
  <c r="M738" i="4" s="1"/>
  <c r="M739" i="4" a="1"/>
  <c r="M739" i="4"/>
  <c r="M740" i="4" a="1"/>
  <c r="M740" i="4" s="1"/>
  <c r="M741" i="4" a="1"/>
  <c r="M741" i="4" s="1"/>
  <c r="M742" i="4" a="1"/>
  <c r="M742" i="4" s="1"/>
  <c r="M743" i="4" a="1"/>
  <c r="M743" i="4"/>
  <c r="M744" i="4" a="1"/>
  <c r="M744" i="4"/>
  <c r="M745" i="4" a="1"/>
  <c r="M745" i="4" s="1"/>
  <c r="M746" i="4" a="1"/>
  <c r="M746" i="4"/>
  <c r="M747" i="4" a="1"/>
  <c r="M747" i="4" s="1"/>
  <c r="M748" i="4" a="1"/>
  <c r="M748" i="4"/>
  <c r="M749" i="4" a="1"/>
  <c r="M749" i="4"/>
  <c r="M750" i="4" a="1"/>
  <c r="M750" i="4"/>
  <c r="M751" i="4" a="1"/>
  <c r="M751" i="4" s="1"/>
  <c r="M752" i="4" a="1"/>
  <c r="M752" i="4" s="1"/>
  <c r="M753" i="4" a="1"/>
  <c r="M753" i="4" s="1"/>
  <c r="M754" i="4" a="1"/>
  <c r="M754" i="4" s="1"/>
  <c r="M755" i="4" a="1"/>
  <c r="M755" i="4" s="1"/>
  <c r="M756" i="4" a="1"/>
  <c r="M756" i="4"/>
  <c r="M757" i="4" a="1"/>
  <c r="M757" i="4"/>
  <c r="M758" i="4" a="1"/>
  <c r="M758" i="4"/>
  <c r="M759" i="4" a="1"/>
  <c r="M759" i="4" s="1"/>
  <c r="M760" i="4" a="1"/>
  <c r="M760" i="4" s="1"/>
  <c r="M761" i="4" a="1"/>
  <c r="M761" i="4" s="1"/>
  <c r="M762" i="4" a="1"/>
  <c r="M762" i="4"/>
  <c r="M763" i="4" a="1"/>
  <c r="M763" i="4"/>
  <c r="M764" i="4" a="1"/>
  <c r="M764" i="4" s="1"/>
  <c r="M765" i="4" a="1"/>
  <c r="M765" i="4" s="1"/>
  <c r="M766" i="4" a="1"/>
  <c r="M766" i="4"/>
  <c r="M767" i="4" a="1"/>
  <c r="M767" i="4" s="1"/>
  <c r="M768" i="4" a="1"/>
  <c r="M768" i="4" s="1"/>
  <c r="M769" i="4" a="1"/>
  <c r="M769" i="4" s="1"/>
  <c r="M770" i="4" a="1"/>
  <c r="M770" i="4"/>
  <c r="M771" i="4" a="1"/>
  <c r="M771" i="4" s="1"/>
  <c r="M772" i="4" a="1"/>
  <c r="M772" i="4" s="1"/>
  <c r="M773" i="4" a="1"/>
  <c r="M773" i="4"/>
  <c r="M774" i="4" a="1"/>
  <c r="M774" i="4" s="1"/>
  <c r="M775" i="4" a="1"/>
  <c r="M775" i="4"/>
  <c r="M776" i="4" a="1"/>
  <c r="M776" i="4" s="1"/>
  <c r="M777" i="4" a="1"/>
  <c r="M777" i="4" s="1"/>
  <c r="M778" i="4" a="1"/>
  <c r="M778" i="4"/>
  <c r="M779" i="4" a="1"/>
  <c r="M779" i="4" s="1"/>
  <c r="M780" i="4" a="1"/>
  <c r="M780" i="4"/>
  <c r="M781" i="4" a="1"/>
  <c r="M781" i="4" s="1"/>
  <c r="M782" i="4" a="1"/>
  <c r="M782" i="4"/>
  <c r="M783" i="4" a="1"/>
  <c r="M783" i="4" s="1"/>
  <c r="M784" i="4" a="1"/>
  <c r="M784" i="4" s="1"/>
  <c r="M785" i="4" a="1"/>
  <c r="M785" i="4"/>
  <c r="M786" i="4" a="1"/>
  <c r="M786" i="4" s="1"/>
  <c r="M787" i="4" a="1"/>
  <c r="M787" i="4"/>
  <c r="M788" i="4" a="1"/>
  <c r="M788" i="4" s="1"/>
  <c r="M789" i="4" a="1"/>
  <c r="M789" i="4" s="1"/>
  <c r="M790" i="4" a="1"/>
  <c r="M790" i="4"/>
  <c r="M791" i="4" a="1"/>
  <c r="M791" i="4"/>
  <c r="M792" i="4" a="1"/>
  <c r="M792" i="4" s="1"/>
  <c r="M793" i="4" a="1"/>
  <c r="M793" i="4" s="1"/>
  <c r="M794" i="4" a="1"/>
  <c r="M794" i="4" s="1"/>
  <c r="M795" i="4" a="1"/>
  <c r="M795" i="4" s="1"/>
  <c r="M796" i="4" a="1"/>
  <c r="M796" i="4"/>
  <c r="M797" i="4" a="1"/>
  <c r="M797" i="4"/>
  <c r="M798" i="4" a="1"/>
  <c r="M798" i="4"/>
  <c r="M799" i="4" a="1"/>
  <c r="M799" i="4" s="1"/>
  <c r="M800" i="4" a="1"/>
  <c r="M800" i="4" s="1"/>
  <c r="M801" i="4" a="1"/>
  <c r="M801" i="4" s="1"/>
  <c r="M802" i="4" a="1"/>
  <c r="M802" i="4" s="1"/>
  <c r="M803" i="4" a="1"/>
  <c r="M803" i="4"/>
  <c r="M804" i="4" a="1"/>
  <c r="M804" i="4"/>
  <c r="M805" i="4" a="1"/>
  <c r="M805" i="4"/>
  <c r="M806" i="4" a="1"/>
  <c r="M806" i="4"/>
  <c r="M807" i="4" a="1"/>
  <c r="M807" i="4" s="1"/>
  <c r="M808" i="4" a="1"/>
  <c r="M808" i="4"/>
  <c r="M809" i="4" a="1"/>
  <c r="M809" i="4" s="1"/>
  <c r="M810" i="4" a="1"/>
  <c r="M810" i="4"/>
  <c r="M811" i="4" a="1"/>
  <c r="M811" i="4"/>
  <c r="M812" i="4" a="1"/>
  <c r="M812" i="4"/>
  <c r="M813" i="4" a="1"/>
  <c r="M813" i="4"/>
  <c r="M814" i="4" a="1"/>
  <c r="M814" i="4" s="1"/>
  <c r="M815" i="4" a="1"/>
  <c r="M815" i="4" s="1"/>
  <c r="M816" i="4" a="1"/>
  <c r="M816" i="4"/>
  <c r="M817" i="4" a="1"/>
  <c r="M817" i="4"/>
  <c r="M818" i="4" a="1"/>
  <c r="M818" i="4"/>
  <c r="M819" i="4" a="1"/>
  <c r="M819" i="4"/>
  <c r="M820" i="4" a="1"/>
  <c r="M820" i="4"/>
  <c r="M821" i="4" a="1"/>
  <c r="M821" i="4" s="1"/>
  <c r="M822" i="4" a="1"/>
  <c r="M822" i="4"/>
  <c r="M823" i="4" a="1"/>
  <c r="M823" i="4"/>
  <c r="M824" i="4" a="1"/>
  <c r="M824" i="4"/>
  <c r="M825" i="4" a="1"/>
  <c r="M825" i="4"/>
  <c r="M826" i="4" a="1"/>
  <c r="M826" i="4"/>
  <c r="M827" i="4" a="1"/>
  <c r="M827" i="4" s="1"/>
  <c r="M828" i="4" a="1"/>
  <c r="M828" i="4" s="1"/>
  <c r="M829" i="4" a="1"/>
  <c r="M829" i="4"/>
  <c r="M830" i="4" a="1"/>
  <c r="M830" i="4"/>
  <c r="M831" i="4" a="1"/>
  <c r="M831" i="4"/>
  <c r="M832" i="4" a="1"/>
  <c r="M832" i="4"/>
  <c r="M833" i="4" a="1"/>
  <c r="M833" i="4" s="1"/>
  <c r="M834" i="4" a="1"/>
  <c r="M834" i="4" s="1"/>
  <c r="M835" i="4" a="1"/>
  <c r="M835" i="4" s="1"/>
  <c r="M836" i="4" a="1"/>
  <c r="M836" i="4"/>
  <c r="M837" i="4" a="1"/>
  <c r="M837" i="4"/>
  <c r="M838" i="4" a="1"/>
  <c r="M838" i="4"/>
  <c r="M839" i="4" a="1"/>
  <c r="M839" i="4" s="1"/>
  <c r="M840" i="4" a="1"/>
  <c r="M840" i="4"/>
  <c r="M841" i="4" a="1"/>
  <c r="M841" i="4" s="1"/>
  <c r="M842" i="4" a="1"/>
  <c r="M842" i="4"/>
  <c r="M843" i="4" a="1"/>
  <c r="M843" i="4"/>
  <c r="M844" i="4" a="1"/>
  <c r="M844" i="4"/>
  <c r="M845" i="4" a="1"/>
  <c r="M845" i="4" s="1"/>
  <c r="M846" i="4" a="1"/>
  <c r="M846" i="4"/>
  <c r="M847" i="4" a="1"/>
  <c r="M847" i="4" s="1"/>
  <c r="M848" i="4" a="1"/>
  <c r="M848" i="4" s="1"/>
  <c r="M849" i="4" a="1"/>
  <c r="M849" i="4"/>
  <c r="M850" i="4" a="1"/>
  <c r="M850" i="4"/>
  <c r="M851" i="4" a="1"/>
  <c r="M851" i="4" s="1"/>
  <c r="M852" i="4" a="1"/>
  <c r="M852" i="4"/>
  <c r="M853" i="4" a="1"/>
  <c r="M853" i="4"/>
  <c r="M854" i="4" a="1"/>
  <c r="M854" i="4"/>
  <c r="M855" i="4" a="1"/>
  <c r="M855" i="4" s="1"/>
  <c r="M856" i="4" a="1"/>
  <c r="M856" i="4"/>
  <c r="M857" i="4" a="1"/>
  <c r="M857" i="4" s="1"/>
  <c r="M858" i="4" a="1"/>
  <c r="M858" i="4"/>
  <c r="M859" i="4" a="1"/>
  <c r="M859" i="4"/>
  <c r="M860" i="4" a="1"/>
  <c r="M860" i="4" s="1"/>
  <c r="M861" i="4" a="1"/>
  <c r="M861" i="4"/>
  <c r="M862" i="4" a="1"/>
  <c r="M862" i="4" s="1"/>
  <c r="M863" i="4" a="1"/>
  <c r="M863" i="4" s="1"/>
  <c r="M864" i="4" a="1"/>
  <c r="M864" i="4"/>
  <c r="M865" i="4" a="1"/>
  <c r="M865" i="4"/>
  <c r="M866" i="4" a="1"/>
  <c r="M866" i="4"/>
  <c r="M867" i="4" a="1"/>
  <c r="M867" i="4"/>
  <c r="M868" i="4" a="1"/>
  <c r="M868" i="4" s="1"/>
  <c r="M869" i="4" a="1"/>
  <c r="M869" i="4" s="1"/>
  <c r="M870" i="4" a="1"/>
  <c r="M870" i="4"/>
  <c r="M871" i="4" a="1"/>
  <c r="M871" i="4"/>
  <c r="M872" i="4" a="1"/>
  <c r="M872" i="4"/>
  <c r="M873" i="4" a="1"/>
  <c r="M873" i="4" s="1"/>
  <c r="M874" i="4" a="1"/>
  <c r="M874" i="4"/>
  <c r="M875" i="4" a="1"/>
  <c r="M875" i="4" s="1"/>
  <c r="M876" i="4" a="1"/>
  <c r="M876" i="4" s="1"/>
  <c r="M877" i="4" a="1"/>
  <c r="M877" i="4"/>
  <c r="M878" i="4" a="1"/>
  <c r="M878" i="4"/>
  <c r="M879" i="4" a="1"/>
  <c r="M879" i="4"/>
  <c r="M880" i="4" a="1"/>
  <c r="M880" i="4"/>
  <c r="M881" i="4" a="1"/>
  <c r="M881" i="4" s="1"/>
  <c r="M882" i="4" a="1"/>
  <c r="M882" i="4" s="1"/>
  <c r="M883" i="4" a="1"/>
  <c r="M883" i="4"/>
  <c r="M884" i="4" a="1"/>
  <c r="M884" i="4"/>
  <c r="M885" i="4" a="1"/>
  <c r="M885" i="4"/>
  <c r="M886" i="4" a="1"/>
  <c r="M886" i="4" s="1"/>
  <c r="M887" i="4" a="1"/>
  <c r="M887" i="4" s="1"/>
  <c r="M888" i="4" a="1"/>
  <c r="M888" i="4"/>
  <c r="M889" i="4" a="1"/>
  <c r="M889" i="4" s="1"/>
  <c r="M890" i="4" a="1"/>
  <c r="M890" i="4"/>
  <c r="M891" i="4" a="1"/>
  <c r="M891" i="4"/>
  <c r="M892" i="4" a="1"/>
  <c r="M892" i="4"/>
  <c r="M893" i="4" a="1"/>
  <c r="M893" i="4" s="1"/>
  <c r="M894" i="4" a="1"/>
  <c r="M894" i="4"/>
  <c r="M895" i="4" a="1"/>
  <c r="M895" i="4"/>
  <c r="M896" i="4" a="1"/>
  <c r="M896" i="4" s="1"/>
  <c r="M897" i="4" a="1"/>
  <c r="M897" i="4"/>
  <c r="M898" i="4" a="1"/>
  <c r="M898" i="4"/>
  <c r="M899" i="4" a="1"/>
  <c r="M899" i="4" s="1"/>
  <c r="M900" i="4" a="1"/>
  <c r="M900" i="4"/>
  <c r="M901" i="4" a="1"/>
  <c r="M901" i="4"/>
  <c r="M902" i="4" a="1"/>
  <c r="M902" i="4" s="1"/>
  <c r="M903" i="4" a="1"/>
  <c r="M903" i="4"/>
  <c r="M904" i="4" a="1"/>
  <c r="M904" i="4"/>
  <c r="M905" i="4" a="1"/>
  <c r="M905" i="4" s="1"/>
  <c r="M906" i="4" a="1"/>
  <c r="M906" i="4" s="1"/>
  <c r="M907" i="4" a="1"/>
  <c r="M907" i="4"/>
  <c r="M908" i="4" a="1"/>
  <c r="M908" i="4"/>
  <c r="M909" i="4" a="1"/>
  <c r="M909" i="4" s="1"/>
  <c r="M910" i="4" a="1"/>
  <c r="M910" i="4"/>
  <c r="M911" i="4" a="1"/>
  <c r="M911" i="4" s="1"/>
  <c r="M912" i="4" a="1"/>
  <c r="M912" i="4"/>
  <c r="M913" i="4" a="1"/>
  <c r="M913" i="4"/>
  <c r="M914" i="4" a="1"/>
  <c r="M914" i="4"/>
  <c r="M915" i="4" a="1"/>
  <c r="M915" i="4"/>
  <c r="M916" i="4" a="1"/>
  <c r="M916" i="4" s="1"/>
  <c r="M917" i="4" a="1"/>
  <c r="M917" i="4" s="1"/>
  <c r="M918" i="4" a="1"/>
  <c r="M918" i="4"/>
  <c r="M919" i="4" a="1"/>
  <c r="M919" i="4" s="1"/>
  <c r="M920" i="4" a="1"/>
  <c r="M920" i="4"/>
  <c r="M921" i="4" a="1"/>
  <c r="M921" i="4"/>
  <c r="M922" i="4" a="1"/>
  <c r="M922" i="4"/>
  <c r="M923" i="4" a="1"/>
  <c r="M923" i="4" s="1"/>
  <c r="M924" i="4" a="1"/>
  <c r="M924" i="4"/>
  <c r="M925" i="4" a="1"/>
  <c r="M925" i="4"/>
  <c r="M926" i="4" a="1"/>
  <c r="M926" i="4"/>
  <c r="M927" i="4" a="1"/>
  <c r="M927" i="4"/>
  <c r="M928" i="4" a="1"/>
  <c r="M928" i="4"/>
  <c r="M929" i="4" a="1"/>
  <c r="M929" i="4" s="1"/>
  <c r="M930" i="4" a="1"/>
  <c r="M930" i="4" s="1"/>
  <c r="M931" i="4" a="1"/>
  <c r="M931" i="4"/>
  <c r="M932" i="4" a="1"/>
  <c r="M932" i="4" s="1"/>
  <c r="M933" i="4" a="1"/>
  <c r="M933" i="4"/>
  <c r="M934" i="4" a="1"/>
  <c r="M934" i="4"/>
  <c r="M935" i="4" a="1"/>
  <c r="M935" i="4" s="1"/>
  <c r="M936" i="4" a="1"/>
  <c r="M936" i="4"/>
  <c r="M937" i="4" a="1"/>
  <c r="M937" i="4" s="1"/>
  <c r="M938" i="4" a="1"/>
  <c r="M938" i="4"/>
  <c r="M939" i="4" a="1"/>
  <c r="M939" i="4"/>
  <c r="M940" i="4" a="1"/>
  <c r="M940" i="4"/>
  <c r="M941" i="4" a="1"/>
  <c r="M941" i="4" s="1"/>
  <c r="M942" i="4" a="1"/>
  <c r="M942" i="4"/>
  <c r="M943" i="4" a="1"/>
  <c r="M943" i="4" s="1"/>
  <c r="M944" i="4" a="1"/>
  <c r="M944" i="4"/>
  <c r="M945" i="4" a="1"/>
  <c r="M945" i="4" s="1"/>
  <c r="M946" i="4" a="1"/>
  <c r="M946" i="4"/>
  <c r="M947" i="4" a="1"/>
  <c r="M947" i="4" s="1"/>
  <c r="M948" i="4" a="1"/>
  <c r="M948" i="4"/>
  <c r="M949" i="4" a="1"/>
  <c r="M949" i="4"/>
  <c r="M950" i="4" a="1"/>
  <c r="M950" i="4" s="1"/>
  <c r="M951" i="4" a="1"/>
  <c r="M951" i="4"/>
  <c r="M952" i="4" a="1"/>
  <c r="M952" i="4"/>
  <c r="M953" i="4" a="1"/>
  <c r="M953" i="4" s="1"/>
  <c r="M954" i="4" a="1"/>
  <c r="M954" i="4" s="1"/>
  <c r="M955" i="4" a="1"/>
  <c r="M955" i="4"/>
  <c r="M956" i="4" a="1"/>
  <c r="M956" i="4"/>
  <c r="M957" i="4" a="1"/>
  <c r="M957" i="4" s="1"/>
  <c r="M958" i="4" a="1"/>
  <c r="M958" i="4"/>
  <c r="M959" i="4" a="1"/>
  <c r="M959" i="4" s="1"/>
  <c r="M960" i="4" a="1"/>
  <c r="M960" i="4"/>
  <c r="M961" i="4" a="1"/>
  <c r="M961" i="4"/>
  <c r="M962" i="4" a="1"/>
  <c r="M962" i="4"/>
  <c r="M963" i="4" a="1"/>
  <c r="M963" i="4"/>
  <c r="M964" i="4" a="1"/>
  <c r="M964" i="4" s="1"/>
  <c r="M965" i="4" a="1"/>
  <c r="M965" i="4" s="1"/>
  <c r="M966" i="4" a="1"/>
  <c r="M966" i="4"/>
  <c r="M967" i="4" a="1"/>
  <c r="M967" i="4" s="1"/>
  <c r="M968" i="4" a="1"/>
  <c r="M968" i="4"/>
  <c r="M969" i="4" a="1"/>
  <c r="M969" i="4"/>
  <c r="M970" i="4" a="1"/>
  <c r="M970" i="4"/>
  <c r="M971" i="4" a="1"/>
  <c r="M971" i="4" s="1"/>
  <c r="M972" i="4" a="1"/>
  <c r="M972" i="4"/>
  <c r="M973" i="4" a="1"/>
  <c r="M973" i="4"/>
  <c r="M974" i="4" a="1"/>
  <c r="M974" i="4"/>
  <c r="M975" i="4" a="1"/>
  <c r="M975" i="4"/>
  <c r="M976" i="4" a="1"/>
  <c r="M976" i="4"/>
  <c r="M977" i="4" a="1"/>
  <c r="M977" i="4" s="1"/>
  <c r="M978" i="4" a="1"/>
  <c r="M978" i="4" s="1"/>
  <c r="M979" i="4" a="1"/>
  <c r="M979" i="4" s="1"/>
  <c r="M980" i="4" a="1"/>
  <c r="M980" i="4" s="1"/>
  <c r="M981" i="4" a="1"/>
  <c r="M981" i="4"/>
  <c r="M982" i="4" a="1"/>
  <c r="M982" i="4"/>
  <c r="M983" i="4" a="1"/>
  <c r="M983" i="4" s="1"/>
  <c r="M984" i="4" a="1"/>
  <c r="M984" i="4"/>
  <c r="M985" i="4" a="1"/>
  <c r="M985" i="4" s="1"/>
  <c r="M986" i="4" a="1"/>
  <c r="M986" i="4" s="1"/>
  <c r="M987" i="4" a="1"/>
  <c r="M987" i="4"/>
  <c r="M988" i="4" a="1"/>
  <c r="M988" i="4"/>
  <c r="M989" i="4" a="1"/>
  <c r="M989" i="4" s="1"/>
  <c r="M990" i="4" a="1"/>
  <c r="M990" i="4"/>
  <c r="M991" i="4" a="1"/>
  <c r="M991" i="4"/>
  <c r="M992" i="4" a="1"/>
  <c r="M992" i="4" s="1"/>
  <c r="M993" i="4" a="1"/>
  <c r="M993" i="4" s="1"/>
  <c r="M994" i="4" a="1"/>
  <c r="M994" i="4"/>
  <c r="M995" i="4" a="1"/>
  <c r="M995" i="4" s="1"/>
  <c r="M996" i="4" a="1"/>
  <c r="M996" i="4"/>
  <c r="M997" i="4" a="1"/>
  <c r="M997" i="4"/>
  <c r="M998" i="4" a="1"/>
  <c r="M998" i="4"/>
  <c r="M999" i="4" a="1"/>
  <c r="M999" i="4" s="1"/>
  <c r="M1000" i="4" a="1"/>
  <c r="M1000" i="4"/>
  <c r="M1001" i="4" a="1"/>
  <c r="M1001" i="4" s="1"/>
  <c r="M1002" i="4" a="1"/>
  <c r="M1002" i="4"/>
  <c r="M1003" i="4" a="1"/>
  <c r="M1003" i="4"/>
  <c r="M1004" i="4" a="1"/>
  <c r="M1004" i="4"/>
  <c r="M1005" i="4" a="1"/>
  <c r="M1005" i="4"/>
  <c r="M1006" i="4" a="1"/>
  <c r="M1006" i="4" s="1"/>
  <c r="M1007" i="4" a="1"/>
  <c r="M1007" i="4" s="1"/>
  <c r="M1008" i="4" a="1"/>
  <c r="M1008" i="4"/>
  <c r="M1009" i="4" a="1"/>
  <c r="M1009" i="4"/>
  <c r="M1010" i="4" a="1"/>
  <c r="M1010" i="4"/>
  <c r="M1011" i="4" a="1"/>
  <c r="M1011" i="4"/>
  <c r="M1012" i="4" a="1"/>
  <c r="M1012" i="4"/>
  <c r="M1013" i="4" a="1"/>
  <c r="M1013" i="4" s="1"/>
  <c r="M1014" i="4" a="1"/>
  <c r="M1014" i="4"/>
  <c r="M1015" i="4" a="1"/>
  <c r="M1015" i="4"/>
  <c r="M1016" i="4" a="1"/>
  <c r="M1016" i="4"/>
  <c r="M1017" i="4" a="1"/>
  <c r="M1017" i="4"/>
  <c r="M1018" i="4" a="1"/>
  <c r="M1018" i="4"/>
  <c r="M1019" i="4" a="1"/>
  <c r="M1019" i="4" s="1"/>
  <c r="M1020" i="4" a="1"/>
  <c r="M1020" i="4" s="1"/>
  <c r="M1021" i="4" a="1"/>
  <c r="M1021" i="4"/>
  <c r="M1022" i="4" a="1"/>
  <c r="M1022" i="4"/>
  <c r="M1023" i="4" a="1"/>
  <c r="M1023" i="4"/>
  <c r="M1024" i="4" a="1"/>
  <c r="M1024" i="4"/>
  <c r="M1025" i="4" a="1"/>
  <c r="M1025" i="4" s="1"/>
  <c r="M1026" i="4" a="1"/>
  <c r="M1026" i="4" s="1"/>
  <c r="M1027" i="4" a="1"/>
  <c r="M1027" i="4" s="1"/>
  <c r="M2" i="4" a="1"/>
  <c r="M2" i="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<sst xmlns="http://schemas.openxmlformats.org/spreadsheetml/2006/main" count="16266" uniqueCount="50">
  <si>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</si>
  <si>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</si>
  <si>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</si>
  <si>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</si>
  <si>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</si>
  <si>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</si>
  <si>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</si>
  <si>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</si>
  <si>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</si>
  <si>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</si>
  <si>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</si>
  <si>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</si>
  <si>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</si>
  <si>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</si>
  <si>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</si>
  <si>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</si>
  <si>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</si>
  <si>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</si>
  <si>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</si>
  <si>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</si>
  <si>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</si>
  <si>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</si>
  <si>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</si>
  <si>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</si>
  <si>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</si>
  <si>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</si>
  <si>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</si>
  <si>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</si>
  <si>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</si>
  <si>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</si>
  <si>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</si>
  <si>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</si>
  <si>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</si>
  <si>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</si>
  <si>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</si>
  <si>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</si>
  <si>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</si>
  <si>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</si>
  <si>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</si>
  <si>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</si>
  <si>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Range</t>
  </si>
  <si>
    <t>Row Labels</t>
  </si>
  <si>
    <t>Grand Total</t>
  </si>
  <si>
    <t>Column Labels</t>
  </si>
  <si>
    <t>Average of Income</t>
  </si>
  <si>
    <t>Count of Purchased Bike</t>
  </si>
  <si>
    <t>More than 10 miles</t>
  </si>
  <si>
    <t>Adolescent</t>
  </si>
  <si>
    <t>Middle Age</t>
  </si>
  <si>
    <t>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</si>
</sst>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8" formatCode="&quot;₹&quot;\ #,##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168"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Purchase based on Avg Income </a:t>
            </a:r>
          </a:p>
        </c:rich>
      </c:tx>
      <c:layout>
        <c:manualLayout>
          <c:xMode val="edge"/>
          <c:yMode val="edge"/>
          <c:x val="0.14342203072518034"/>
          <c:y val="0.1137232307941421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Table'!$A$3:$A$5</c:f>
              <c:strCache>
                <c:ptCount val="2"/>
                <c:pt idx="0">
                  <c:v>Female</c:v>
                </c:pt>
                <c:pt idx="1">
                  <c:v>Male</c:v>
                </c:pt>
              </c:strCache>
            </c:strRef>
          </c:cat>
          <c:val>
            <c:numRef>
              <c:f>'Pivot Table'!$B$3:$B$5</c:f>
              <c:numCache>
                <c:formatCode>"₹"\ #,##0</c:formatCode>
                <c:ptCount val="2"/>
                <c:pt idx="0">
                  <c:v>53440</c:v>
                </c:pt>
                <c:pt idx="1">
                  <c:v>56208.178438661707</c:v>
                </c:pt>
              </c:numCache>
            </c:numRef>
          </c:val>
          <c:extLst>
            <c:ext xmlns:c16="http://schemas.microsoft.com/office/drawing/2014/chart" uri="{C3380CC4-5D6E-409C-BE32-E72D297353CC}">
              <c16:uniqueId val="{00000000-F04B-417C-BD09-3B74BD20F94A}"/>
            </c:ext>
          </c:extLst>
        </c:ser>
        <c:ser>
          <c:idx val="1"/>
          <c:order val="1"/>
          <c:tx>
            <c:strRef>
              <c:f>'Pivot Table'!$C$1:$C$2</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Table'!$A$3:$A$5</c:f>
              <c:strCache>
                <c:ptCount val="2"/>
                <c:pt idx="0">
                  <c:v>Female</c:v>
                </c:pt>
                <c:pt idx="1">
                  <c:v>Male</c:v>
                </c:pt>
              </c:strCache>
            </c:strRef>
          </c:cat>
          <c:val>
            <c:numRef>
              <c:f>'Pivot Table'!$C$3:$C$5</c:f>
              <c:numCache>
                <c:formatCode>"₹"\ #,##0</c:formatCode>
                <c:ptCount val="2"/>
                <c:pt idx="0">
                  <c:v>55774.058577405856</c:v>
                </c:pt>
                <c:pt idx="1">
                  <c:v>60123.966942148763</c:v>
                </c:pt>
              </c:numCache>
            </c:numRef>
          </c:val>
          <c:extLst>
            <c:ext xmlns:c16="http://schemas.microsoft.com/office/drawing/2014/chart" uri="{C3380CC4-5D6E-409C-BE32-E72D297353CC}">
              <c16:uniqueId val="{00000001-F04B-417C-BD09-3B74BD20F94A}"/>
            </c:ext>
          </c:extLst>
        </c:ser>
        <c:dLbls>
          <c:showLegendKey val="0"/>
          <c:showVal val="0"/>
          <c:showCatName val="0"/>
          <c:showSerName val="0"/>
          <c:showPercent val="0"/>
          <c:showBubbleSize val="0"/>
        </c:dLbls>
        <c:gapWidth val="100"/>
        <c:overlap val="-24"/>
        <c:axId val="41214944"/>
        <c:axId val="41215904"/>
      </c:barChart>
      <c:catAx>
        <c:axId val="412149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215904"/>
        <c:crosses val="autoZero"/>
        <c:auto val="1"/>
        <c:lblAlgn val="ctr"/>
        <c:lblOffset val="100"/>
        <c:noMultiLvlLbl val="0"/>
      </c:catAx>
      <c:valAx>
        <c:axId val="41215904"/>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214944"/>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Purchase based on Distance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Table'!$B$17:$B$18</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Table'!$A$19:$A$24</c:f>
              <c:strCache>
                <c:ptCount val="5"/>
                <c:pt idx="0">
                  <c:v>0-1 Miles</c:v>
                </c:pt>
                <c:pt idx="1">
                  <c:v>1-2 Miles</c:v>
                </c:pt>
                <c:pt idx="2">
                  <c:v>2-5 Miles</c:v>
                </c:pt>
                <c:pt idx="3">
                  <c:v>5-10 Miles</c:v>
                </c:pt>
                <c:pt idx="4">
                  <c:v>More than 10 miles</c:v>
                </c:pt>
              </c:strCache>
            </c:strRef>
          </c:cat>
          <c:val>
            <c:numRef>
              <c:f>'Pivot Table'!$B$19:$B$24</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9433-482F-888C-9E3DC4E68EED}"/>
            </c:ext>
          </c:extLst>
        </c:ser>
        <c:ser>
          <c:idx val="1"/>
          <c:order val="1"/>
          <c:tx>
            <c:strRef>
              <c:f>'Pivot Table'!$C$17:$C$18</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Table'!$A$19:$A$24</c:f>
              <c:strCache>
                <c:ptCount val="5"/>
                <c:pt idx="0">
                  <c:v>0-1 Miles</c:v>
                </c:pt>
                <c:pt idx="1">
                  <c:v>1-2 Miles</c:v>
                </c:pt>
                <c:pt idx="2">
                  <c:v>2-5 Miles</c:v>
                </c:pt>
                <c:pt idx="3">
                  <c:v>5-10 Miles</c:v>
                </c:pt>
                <c:pt idx="4">
                  <c:v>More than 10 miles</c:v>
                </c:pt>
              </c:strCache>
            </c:strRef>
          </c:cat>
          <c:val>
            <c:numRef>
              <c:f>'Pivot Table'!$C$19:$C$24</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9433-482F-888C-9E3DC4E68EED}"/>
            </c:ext>
          </c:extLst>
        </c:ser>
        <c:dLbls>
          <c:showLegendKey val="0"/>
          <c:showVal val="0"/>
          <c:showCatName val="0"/>
          <c:showSerName val="0"/>
          <c:showPercent val="0"/>
          <c:showBubbleSize val="0"/>
        </c:dLbls>
        <c:marker val="1"/>
        <c:smooth val="0"/>
        <c:axId val="165814416"/>
        <c:axId val="165827856"/>
      </c:lineChart>
      <c:catAx>
        <c:axId val="1658144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5827856"/>
        <c:crosses val="autoZero"/>
        <c:auto val="1"/>
        <c:lblAlgn val="ctr"/>
        <c:lblOffset val="100"/>
        <c:noMultiLvlLbl val="0"/>
      </c:catAx>
      <c:valAx>
        <c:axId val="16582785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Purchase</a:t>
                </a:r>
              </a:p>
            </c:rich>
          </c:tx>
          <c:layout>
            <c:manualLayout>
              <c:xMode val="edge"/>
              <c:yMode val="edge"/>
              <c:x val="2.5000000000000001E-2"/>
              <c:y val="0.32658938466025078"/>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5814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Table!PivotTable8</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Purchase Based on Age Group</a:t>
            </a:r>
          </a:p>
        </c:rich>
      </c:tx>
      <c:layout>
        <c:manualLayout>
          <c:xMode val="edge"/>
          <c:yMode val="edge"/>
          <c:x val="0.16900678040244968"/>
          <c:y val="0.11472003499562555"/>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Table'!$B$34:$B$35</c:f>
              <c:strCache>
                <c:ptCount val="1"/>
                <c:pt idx="0">
                  <c:v>No</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cat>
            <c:strRef>
              <c:f>'Pivot Table'!$A$36:$A$39</c:f>
              <c:strCache>
                <c:ptCount val="3"/>
                <c:pt idx="0">
                  <c:v>Adolescent</c:v>
                </c:pt>
                <c:pt idx="1">
                  <c:v>Middle Age</c:v>
                </c:pt>
                <c:pt idx="2">
                  <c:v>Old</c:v>
                </c:pt>
              </c:strCache>
            </c:strRef>
          </c:cat>
          <c:val>
            <c:numRef>
              <c:f>'Pivot Table'!$B$36:$B$39</c:f>
              <c:numCache>
                <c:formatCode>General</c:formatCode>
                <c:ptCount val="3"/>
                <c:pt idx="0">
                  <c:v>71</c:v>
                </c:pt>
                <c:pt idx="1">
                  <c:v>318</c:v>
                </c:pt>
                <c:pt idx="2">
                  <c:v>130</c:v>
                </c:pt>
              </c:numCache>
            </c:numRef>
          </c:val>
          <c:extLst>
            <c:ext xmlns:c16="http://schemas.microsoft.com/office/drawing/2014/chart" uri="{C3380CC4-5D6E-409C-BE32-E72D297353CC}">
              <c16:uniqueId val="{00000000-4CF9-42C5-802F-4AAE69956E7F}"/>
            </c:ext>
          </c:extLst>
        </c:ser>
        <c:ser>
          <c:idx val="1"/>
          <c:order val="1"/>
          <c:tx>
            <c:strRef>
              <c:f>'Pivot Table'!$C$34:$C$35</c:f>
              <c:strCache>
                <c:ptCount val="1"/>
                <c:pt idx="0">
                  <c:v>Yes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cat>
            <c:strRef>
              <c:f>'Pivot Table'!$A$36:$A$39</c:f>
              <c:strCache>
                <c:ptCount val="3"/>
                <c:pt idx="0">
                  <c:v>Adolescent</c:v>
                </c:pt>
                <c:pt idx="1">
                  <c:v>Middle Age</c:v>
                </c:pt>
                <c:pt idx="2">
                  <c:v>Old</c:v>
                </c:pt>
              </c:strCache>
            </c:strRef>
          </c:cat>
          <c:val>
            <c:numRef>
              <c:f>'Pivot Table'!$C$36:$C$39</c:f>
              <c:numCache>
                <c:formatCode>General</c:formatCode>
                <c:ptCount val="3"/>
                <c:pt idx="0">
                  <c:v>39</c:v>
                </c:pt>
                <c:pt idx="1">
                  <c:v>383</c:v>
                </c:pt>
                <c:pt idx="2">
                  <c:v>59</c:v>
                </c:pt>
              </c:numCache>
            </c:numRef>
          </c:val>
          <c:extLst>
            <c:ext xmlns:c16="http://schemas.microsoft.com/office/drawing/2014/chart" uri="{C3380CC4-5D6E-409C-BE32-E72D297353CC}">
              <c16:uniqueId val="{00000001-4CF9-42C5-802F-4AAE69956E7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Purchase based on Avg Income </a:t>
            </a:r>
          </a:p>
        </c:rich>
      </c:tx>
      <c:layout>
        <c:manualLayout>
          <c:xMode val="edge"/>
          <c:yMode val="edge"/>
          <c:x val="0.14342203072518034"/>
          <c:y val="0.1137232307941421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Table'!$A$3:$A$5</c:f>
              <c:strCache>
                <c:ptCount val="2"/>
                <c:pt idx="0">
                  <c:v>Female</c:v>
                </c:pt>
                <c:pt idx="1">
                  <c:v>Male</c:v>
                </c:pt>
              </c:strCache>
            </c:strRef>
          </c:cat>
          <c:val>
            <c:numRef>
              <c:f>'Pivot Table'!$B$3:$B$5</c:f>
              <c:numCache>
                <c:formatCode>"₹"\ #,##0</c:formatCode>
                <c:ptCount val="2"/>
                <c:pt idx="0">
                  <c:v>53440</c:v>
                </c:pt>
                <c:pt idx="1">
                  <c:v>56208.178438661707</c:v>
                </c:pt>
              </c:numCache>
            </c:numRef>
          </c:val>
          <c:extLst>
            <c:ext xmlns:c16="http://schemas.microsoft.com/office/drawing/2014/chart" uri="{C3380CC4-5D6E-409C-BE32-E72D297353CC}">
              <c16:uniqueId val="{00000000-A992-47B7-AE31-144BD8348F8C}"/>
            </c:ext>
          </c:extLst>
        </c:ser>
        <c:ser>
          <c:idx val="1"/>
          <c:order val="1"/>
          <c:tx>
            <c:strRef>
              <c:f>'Pivot Table'!$C$1:$C$2</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Table'!$A$3:$A$5</c:f>
              <c:strCache>
                <c:ptCount val="2"/>
                <c:pt idx="0">
                  <c:v>Female</c:v>
                </c:pt>
                <c:pt idx="1">
                  <c:v>Male</c:v>
                </c:pt>
              </c:strCache>
            </c:strRef>
          </c:cat>
          <c:val>
            <c:numRef>
              <c:f>'Pivot Table'!$C$3:$C$5</c:f>
              <c:numCache>
                <c:formatCode>"₹"\ #,##0</c:formatCode>
                <c:ptCount val="2"/>
                <c:pt idx="0">
                  <c:v>55774.058577405856</c:v>
                </c:pt>
                <c:pt idx="1">
                  <c:v>60123.966942148763</c:v>
                </c:pt>
              </c:numCache>
            </c:numRef>
          </c:val>
          <c:extLst>
            <c:ext xmlns:c16="http://schemas.microsoft.com/office/drawing/2014/chart" uri="{C3380CC4-5D6E-409C-BE32-E72D297353CC}">
              <c16:uniqueId val="{00000001-A992-47B7-AE31-144BD8348F8C}"/>
            </c:ext>
          </c:extLst>
        </c:ser>
        <c:dLbls>
          <c:showLegendKey val="0"/>
          <c:showVal val="0"/>
          <c:showCatName val="0"/>
          <c:showSerName val="0"/>
          <c:showPercent val="0"/>
          <c:showBubbleSize val="0"/>
        </c:dLbls>
        <c:gapWidth val="100"/>
        <c:overlap val="-24"/>
        <c:axId val="41214944"/>
        <c:axId val="41215904"/>
      </c:barChart>
      <c:catAx>
        <c:axId val="412149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215904"/>
        <c:crosses val="autoZero"/>
        <c:auto val="1"/>
        <c:lblAlgn val="ctr"/>
        <c:lblOffset val="100"/>
        <c:noMultiLvlLbl val="0"/>
      </c:catAx>
      <c:valAx>
        <c:axId val="41215904"/>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214944"/>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Table!PivotTable6</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Purchase based on Distance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Table'!$B$17:$B$18</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Table'!$A$19:$A$24</c:f>
              <c:strCache>
                <c:ptCount val="5"/>
                <c:pt idx="0">
                  <c:v>0-1 Miles</c:v>
                </c:pt>
                <c:pt idx="1">
                  <c:v>1-2 Miles</c:v>
                </c:pt>
                <c:pt idx="2">
                  <c:v>2-5 Miles</c:v>
                </c:pt>
                <c:pt idx="3">
                  <c:v>5-10 Miles</c:v>
                </c:pt>
                <c:pt idx="4">
                  <c:v>More than 10 miles</c:v>
                </c:pt>
              </c:strCache>
            </c:strRef>
          </c:cat>
          <c:val>
            <c:numRef>
              <c:f>'Pivot Table'!$B$19:$B$24</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C015-4204-BC1A-97ADC55B93AF}"/>
            </c:ext>
          </c:extLst>
        </c:ser>
        <c:ser>
          <c:idx val="1"/>
          <c:order val="1"/>
          <c:tx>
            <c:strRef>
              <c:f>'Pivot Table'!$C$17:$C$18</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Table'!$A$19:$A$24</c:f>
              <c:strCache>
                <c:ptCount val="5"/>
                <c:pt idx="0">
                  <c:v>0-1 Miles</c:v>
                </c:pt>
                <c:pt idx="1">
                  <c:v>1-2 Miles</c:v>
                </c:pt>
                <c:pt idx="2">
                  <c:v>2-5 Miles</c:v>
                </c:pt>
                <c:pt idx="3">
                  <c:v>5-10 Miles</c:v>
                </c:pt>
                <c:pt idx="4">
                  <c:v>More than 10 miles</c:v>
                </c:pt>
              </c:strCache>
            </c:strRef>
          </c:cat>
          <c:val>
            <c:numRef>
              <c:f>'Pivot Table'!$C$19:$C$24</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C015-4204-BC1A-97ADC55B93AF}"/>
            </c:ext>
          </c:extLst>
        </c:ser>
        <c:dLbls>
          <c:showLegendKey val="0"/>
          <c:showVal val="0"/>
          <c:showCatName val="0"/>
          <c:showSerName val="0"/>
          <c:showPercent val="0"/>
          <c:showBubbleSize val="0"/>
        </c:dLbls>
        <c:marker val="1"/>
        <c:smooth val="0"/>
        <c:axId val="165814416"/>
        <c:axId val="165827856"/>
      </c:lineChart>
      <c:catAx>
        <c:axId val="1658144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5827856"/>
        <c:crosses val="autoZero"/>
        <c:auto val="1"/>
        <c:lblAlgn val="ctr"/>
        <c:lblOffset val="100"/>
        <c:noMultiLvlLbl val="0"/>
      </c:catAx>
      <c:valAx>
        <c:axId val="16582785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Purchase</a:t>
                </a:r>
              </a:p>
            </c:rich>
          </c:tx>
          <c:layout>
            <c:manualLayout>
              <c:xMode val="edge"/>
              <c:yMode val="edge"/>
              <c:x val="2.5000000000000001E-2"/>
              <c:y val="0.32658938466025078"/>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5814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Table!PivotTable8</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Purchase Based on Age </a:t>
            </a:r>
          </a:p>
        </c:rich>
      </c:tx>
      <c:layout>
        <c:manualLayout>
          <c:xMode val="edge"/>
          <c:yMode val="edge"/>
          <c:x val="0.14343061540749083"/>
          <c:y val="0.16467237565410017"/>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1933728342121064"/>
          <c:y val="0.32388854101440201"/>
          <c:w val="0.43296861086487859"/>
          <c:h val="0.5073748517163148"/>
        </c:manualLayout>
      </c:layout>
      <c:pieChart>
        <c:varyColors val="1"/>
        <c:ser>
          <c:idx val="0"/>
          <c:order val="0"/>
          <c:tx>
            <c:strRef>
              <c:f>'Pivot Table'!$B$34:$B$35</c:f>
              <c:strCache>
                <c:ptCount val="1"/>
                <c:pt idx="0">
                  <c:v>No</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31F-483E-8DD3-8665E66CA29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31F-483E-8DD3-8665E66CA29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31F-483E-8DD3-8665E66CA297}"/>
              </c:ext>
            </c:extLst>
          </c:dPt>
          <c:cat>
            <c:strRef>
              <c:f>'Pivot Table'!$A$36:$A$39</c:f>
              <c:strCache>
                <c:ptCount val="3"/>
                <c:pt idx="0">
                  <c:v>Adolescent</c:v>
                </c:pt>
                <c:pt idx="1">
                  <c:v>Middle Age</c:v>
                </c:pt>
                <c:pt idx="2">
                  <c:v>Old</c:v>
                </c:pt>
              </c:strCache>
            </c:strRef>
          </c:cat>
          <c:val>
            <c:numRef>
              <c:f>'Pivot Table'!$B$36:$B$39</c:f>
              <c:numCache>
                <c:formatCode>General</c:formatCode>
                <c:ptCount val="3"/>
                <c:pt idx="0">
                  <c:v>71</c:v>
                </c:pt>
                <c:pt idx="1">
                  <c:v>318</c:v>
                </c:pt>
                <c:pt idx="2">
                  <c:v>130</c:v>
                </c:pt>
              </c:numCache>
            </c:numRef>
          </c:val>
          <c:extLst>
            <c:ext xmlns:c16="http://schemas.microsoft.com/office/drawing/2014/chart" uri="{C3380CC4-5D6E-409C-BE32-E72D297353CC}">
              <c16:uniqueId val="{00000006-131F-483E-8DD3-8665E66CA297}"/>
            </c:ext>
          </c:extLst>
        </c:ser>
        <c:ser>
          <c:idx val="1"/>
          <c:order val="1"/>
          <c:tx>
            <c:strRef>
              <c:f>'Pivot Table'!$C$34:$C$35</c:f>
              <c:strCache>
                <c:ptCount val="1"/>
                <c:pt idx="0">
                  <c:v>Yes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131F-483E-8DD3-8665E66CA29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131F-483E-8DD3-8665E66CA29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C-131F-483E-8DD3-8665E66CA297}"/>
              </c:ext>
            </c:extLst>
          </c:dPt>
          <c:cat>
            <c:strRef>
              <c:f>'Pivot Table'!$A$36:$A$39</c:f>
              <c:strCache>
                <c:ptCount val="3"/>
                <c:pt idx="0">
                  <c:v>Adolescent</c:v>
                </c:pt>
                <c:pt idx="1">
                  <c:v>Middle Age</c:v>
                </c:pt>
                <c:pt idx="2">
                  <c:v>Old</c:v>
                </c:pt>
              </c:strCache>
            </c:strRef>
          </c:cat>
          <c:val>
            <c:numRef>
              <c:f>'Pivot Table'!$C$36:$C$39</c:f>
              <c:numCache>
                <c:formatCode>General</c:formatCode>
                <c:ptCount val="3"/>
                <c:pt idx="0">
                  <c:v>39</c:v>
                </c:pt>
                <c:pt idx="1">
                  <c:v>383</c:v>
                </c:pt>
                <c:pt idx="2">
                  <c:v>59</c:v>
                </c:pt>
              </c:numCache>
            </c:numRef>
          </c:val>
          <c:extLst>
            <c:ext xmlns:c16="http://schemas.microsoft.com/office/drawing/2014/chart" uri="{C3380CC4-5D6E-409C-BE32-E72D297353CC}">
              <c16:uniqueId val="{0000000D-131F-483E-8DD3-8665E66CA297}"/>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4802531967618369"/>
          <c:y val="0.66210789388394686"/>
          <c:w val="0.25197468032381637"/>
          <c:h val="0.3254638093410068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289560</xdr:colOff>
      <xdr:row>0</xdr:row>
      <xdr:rowOff>0</xdr:rowOff>
    </xdr:from>
    <xdr:to>
      <xdr:col>11</xdr:col>
      <xdr:colOff>381000</xdr:colOff>
      <xdr:row>14</xdr:row>
      <xdr:rowOff>95250</xdr:rowOff>
    </xdr:to>
    <xdr:graphicFrame macro="">
      <xdr:nvGraphicFramePr>
        <xdr:cNvPr id="2" name="Chart 1">
          <a:extLst>
            <a:ext uri="{FF2B5EF4-FFF2-40B4-BE49-F238E27FC236}">
              <a16:creationId xmlns:a16="http://schemas.microsoft.com/office/drawing/2014/main" id="{0AD8D650-D3AF-5E80-B616-8076299D02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251460</xdr:colOff>
      <xdr:row>16</xdr:row>
      <xdr:rowOff>26670</xdr:rowOff>
    </xdr:from>
    <xdr:to>
      <xdr:col>11</xdr:col>
      <xdr:colOff>556260</xdr:colOff>
      <xdr:row>31</xdr:row>
      <xdr:rowOff>26670</xdr:rowOff>
    </xdr:to>
    <xdr:graphicFrame macro="">
      <xdr:nvGraphicFramePr>
        <xdr:cNvPr id="3" name="Chart 2">
          <a:extLst>
            <a:ext uri="{FF2B5EF4-FFF2-40B4-BE49-F238E27FC236}">
              <a16:creationId xmlns:a16="http://schemas.microsoft.com/office/drawing/2014/main" id="{96E01C24-4360-29BD-BC24-4F5E8C8473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297180</xdr:colOff>
      <xdr:row>33</xdr:row>
      <xdr:rowOff>11430</xdr:rowOff>
    </xdr:from>
    <xdr:to>
      <xdr:col>11</xdr:col>
      <xdr:colOff>601980</xdr:colOff>
      <xdr:row>48</xdr:row>
      <xdr:rowOff>11430</xdr:rowOff>
    </xdr:to>
    <xdr:graphicFrame macro="">
      <xdr:nvGraphicFramePr>
        <xdr:cNvPr id="4" name="Chart 3">
          <a:extLst>
            <a:ext uri="{FF2B5EF4-FFF2-40B4-BE49-F238E27FC236}">
              <a16:creationId xmlns:a16="http://schemas.microsoft.com/office/drawing/2014/main" id="{9E79635B-DA73-E2EC-EE5F-52DD5EC54B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192424</xdr:colOff>
      <xdr:row>4</xdr:row>
      <xdr:rowOff>25053</xdr:rowOff>
    </xdr:from>
    <xdr:to>
      <xdr:col>9</xdr:col>
      <xdr:colOff>53879</xdr:colOff>
      <xdr:row>17</xdr:row>
      <xdr:rowOff>163830</xdr:rowOff>
    </xdr:to>
    <xdr:graphicFrame macro="">
      <xdr:nvGraphicFramePr>
        <xdr:cNvPr id="2" name="Chart 1">
          <a:extLst>
            <a:ext uri="{FF2B5EF4-FFF2-40B4-BE49-F238E27FC236}">
              <a16:creationId xmlns:a16="http://schemas.microsoft.com/office/drawing/2014/main" id="{C8B4DEA0-99BC-4A41-A0BA-1396489F11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190500</xdr:colOff>
      <xdr:row>18</xdr:row>
      <xdr:rowOff>7620</xdr:rowOff>
    </xdr:from>
    <xdr:to>
      <xdr:col>14</xdr:col>
      <xdr:colOff>0</xdr:colOff>
      <xdr:row>31</xdr:row>
      <xdr:rowOff>60960</xdr:rowOff>
    </xdr:to>
    <xdr:graphicFrame macro="">
      <xdr:nvGraphicFramePr>
        <xdr:cNvPr id="3" name="Chart 2">
          <a:extLst>
            <a:ext uri="{FF2B5EF4-FFF2-40B4-BE49-F238E27FC236}">
              <a16:creationId xmlns:a16="http://schemas.microsoft.com/office/drawing/2014/main" id="{C7A5FA8D-C04C-456C-B6A8-9F5F18BBAD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68580</xdr:colOff>
      <xdr:row>4</xdr:row>
      <xdr:rowOff>22860</xdr:rowOff>
    </xdr:from>
    <xdr:to>
      <xdr:col>14</xdr:col>
      <xdr:colOff>7620</xdr:colOff>
      <xdr:row>17</xdr:row>
      <xdr:rowOff>163830</xdr:rowOff>
    </xdr:to>
    <xdr:graphicFrame macro="">
      <xdr:nvGraphicFramePr>
        <xdr:cNvPr id="4" name="Chart 3">
          <a:extLst>
            <a:ext uri="{FF2B5EF4-FFF2-40B4-BE49-F238E27FC236}">
              <a16:creationId xmlns:a16="http://schemas.microsoft.com/office/drawing/2014/main" id="{791BFA06-BC99-45E4-84B1-EEC8B14DD5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4</xdr:row>
      <xdr:rowOff>62022</xdr:rowOff>
    </xdr:from>
    <xdr:to>
      <xdr:col>2</xdr:col>
      <xdr:colOff>141768</xdr:colOff>
      <xdr:row>9</xdr:row>
      <xdr:rowOff>35442</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FCC12539-6EA5-4CB1-3BBE-BA095204115C}"/>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806301"/>
              <a:ext cx="1461977" cy="9037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9</xdr:row>
      <xdr:rowOff>106325</xdr:rowOff>
    </xdr:from>
    <xdr:to>
      <xdr:col>2</xdr:col>
      <xdr:colOff>150627</xdr:colOff>
      <xdr:row>18</xdr:row>
      <xdr:rowOff>162441</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FA39E2A4-A5E5-4EFA-FD84-8104AAC5E9AA}"/>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 y="1780953"/>
              <a:ext cx="1470835" cy="17307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26581</xdr:colOff>
      <xdr:row>19</xdr:row>
      <xdr:rowOff>41347</xdr:rowOff>
    </xdr:from>
    <xdr:to>
      <xdr:col>2</xdr:col>
      <xdr:colOff>150628</xdr:colOff>
      <xdr:row>25</xdr:row>
      <xdr:rowOff>147674</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14187EEB-380B-49B0-E8D9-33AE2F18439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6581" y="3576673"/>
              <a:ext cx="1444256" cy="12227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26</xdr:row>
      <xdr:rowOff>26581</xdr:rowOff>
    </xdr:from>
    <xdr:to>
      <xdr:col>2</xdr:col>
      <xdr:colOff>141768</xdr:colOff>
      <xdr:row>31</xdr:row>
      <xdr:rowOff>26581</xdr:rowOff>
    </xdr:to>
    <mc:AlternateContent xmlns:mc="http://schemas.openxmlformats.org/markup-compatibility/2006">
      <mc:Choice xmlns:a14="http://schemas.microsoft.com/office/drawing/2010/main" Requires="a14">
        <xdr:graphicFrame macro="">
          <xdr:nvGraphicFramePr>
            <xdr:cNvPr id="8" name="Home Owner">
              <a:extLst>
                <a:ext uri="{FF2B5EF4-FFF2-40B4-BE49-F238E27FC236}">
                  <a16:creationId xmlns:a16="http://schemas.microsoft.com/office/drawing/2014/main" id="{FA6C5B34-A13E-3C03-8E71-153AF451FE45}"/>
                </a:ext>
              </a:extLst>
            </xdr:cNvPr>
            <xdr:cNvGraphicFramePr/>
          </xdr:nvGraphicFramePr>
          <xdr:xfrm>
            <a:off x="0" y="0"/>
            <a:ext cx="0" cy="0"/>
          </xdr:xfrm>
          <a:graphic>
            <a:graphicData uri="http://schemas.microsoft.com/office/drawing/2010/slicer">
              <sle:slicer xmlns:sle="http://schemas.microsoft.com/office/drawing/2010/slicer" name="Home Owner"/>
            </a:graphicData>
          </a:graphic>
        </xdr:graphicFrame>
      </mc:Choice>
      <mc:Fallback>
        <xdr:sp macro="" textlink="">
          <xdr:nvSpPr>
            <xdr:cNvPr id="0" name=""/>
            <xdr:cNvSpPr>
              <a:spLocks noTextEdit="1"/>
            </xdr:cNvSpPr>
          </xdr:nvSpPr>
          <xdr:spPr>
            <a:xfrm>
              <a:off x="0" y="4864395"/>
              <a:ext cx="1461977" cy="9303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17721</xdr:colOff>
      <xdr:row>0</xdr:row>
      <xdr:rowOff>17721</xdr:rowOff>
    </xdr:from>
    <xdr:to>
      <xdr:col>13</xdr:col>
      <xdr:colOff>602512</xdr:colOff>
      <xdr:row>3</xdr:row>
      <xdr:rowOff>168349</xdr:rowOff>
    </xdr:to>
    <xdr:sp macro="" textlink="">
      <xdr:nvSpPr>
        <xdr:cNvPr id="11" name="TextBox 10">
          <a:extLst>
            <a:ext uri="{FF2B5EF4-FFF2-40B4-BE49-F238E27FC236}">
              <a16:creationId xmlns:a16="http://schemas.microsoft.com/office/drawing/2014/main" id="{1F6654EA-0B9F-8220-60B4-2801A265E696}"/>
            </a:ext>
          </a:extLst>
        </xdr:cNvPr>
        <xdr:cNvSpPr txBox="1"/>
      </xdr:nvSpPr>
      <xdr:spPr>
        <a:xfrm>
          <a:off x="17721" y="17721"/>
          <a:ext cx="8630093" cy="708837"/>
        </a:xfrm>
        <a:prstGeom prst="rect">
          <a:avLst/>
        </a:prstGeom>
        <a:gradFill flip="none" rotWithShape="1">
          <a:gsLst>
            <a:gs pos="0">
              <a:schemeClr val="tx1">
                <a:lumMod val="50000"/>
                <a:lumOff val="50000"/>
              </a:schemeClr>
            </a:gs>
            <a:gs pos="29000">
              <a:schemeClr val="tx1">
                <a:lumMod val="50000"/>
                <a:lumOff val="50000"/>
              </a:schemeClr>
            </a:gs>
            <a:gs pos="59000">
              <a:schemeClr val="tx1">
                <a:lumMod val="65000"/>
                <a:lumOff val="35000"/>
              </a:schemeClr>
            </a:gs>
            <a:gs pos="84000">
              <a:schemeClr val="tx1">
                <a:lumMod val="75000"/>
                <a:lumOff val="25000"/>
              </a:schemeClr>
            </a:gs>
          </a:gsLst>
          <a:path path="circle">
            <a:fillToRect l="50000" t="50000" r="50000" b="50000"/>
          </a:path>
          <a:tileRect/>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3600" kern="1200">
              <a:solidFill>
                <a:schemeClr val="bg2"/>
              </a:solidFill>
              <a:latin typeface="Bell MT" panose="02020503060305020303" pitchFamily="18" charset="0"/>
            </a:rPr>
            <a:t>BIKE</a:t>
          </a:r>
          <a:r>
            <a:rPr lang="en-IN" sz="3600" kern="1200" baseline="0">
              <a:solidFill>
                <a:schemeClr val="bg2"/>
              </a:solidFill>
              <a:latin typeface="Bell MT" panose="02020503060305020303" pitchFamily="18" charset="0"/>
            </a:rPr>
            <a:t> SALES DASHBOARD</a:t>
          </a:r>
          <a:endParaRPr lang="en-IN" sz="3600" kern="1200">
            <a:solidFill>
              <a:schemeClr val="bg2"/>
            </a:solidFill>
            <a:latin typeface="Bell MT" panose="02020503060305020303" pitchFamily="18"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mer Azmi" refreshedDate="45679.89008553241" createdVersion="8" refreshedVersion="8" minRefreshableVersion="3" recordCount="1000" xr:uid="{547A4A4A-9B3E-4CEA-97FB-474B5CAC5100}">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8">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ount="2">
        <s v="Yes"/>
        <s v="No"/>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Range"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9777425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x v="0"/>
    <n v="0"/>
    <x v="0"/>
    <x v="0"/>
    <n v="42"/>
    <x v="0"/>
    <x v="0"/>
  </r>
  <r>
    <n v="24107"/>
    <x v="0"/>
    <x v="1"/>
    <n v="30000"/>
    <n v="3"/>
    <x v="1"/>
    <s v="Clerical"/>
    <x v="0"/>
    <n v="1"/>
    <x v="0"/>
    <x v="0"/>
    <n v="43"/>
    <x v="0"/>
    <x v="0"/>
  </r>
  <r>
    <n v="14177"/>
    <x v="0"/>
    <x v="1"/>
    <n v="80000"/>
    <n v="5"/>
    <x v="1"/>
    <s v="Professional"/>
    <x v="1"/>
    <n v="2"/>
    <x v="1"/>
    <x v="0"/>
    <n v="60"/>
    <x v="1"/>
    <x v="0"/>
  </r>
  <r>
    <n v="24381"/>
    <x v="1"/>
    <x v="1"/>
    <n v="70000"/>
    <n v="0"/>
    <x v="0"/>
    <s v="Professional"/>
    <x v="0"/>
    <n v="1"/>
    <x v="2"/>
    <x v="1"/>
    <n v="41"/>
    <x v="0"/>
    <x v="1"/>
  </r>
  <r>
    <n v="25597"/>
    <x v="1"/>
    <x v="1"/>
    <n v="30000"/>
    <n v="0"/>
    <x v="0"/>
    <s v="Clerical"/>
    <x v="1"/>
    <n v="0"/>
    <x v="0"/>
    <x v="0"/>
    <n v="36"/>
    <x v="0"/>
    <x v="1"/>
  </r>
  <r>
    <n v="13507"/>
    <x v="0"/>
    <x v="0"/>
    <n v="10000"/>
    <n v="2"/>
    <x v="1"/>
    <s v="Manual"/>
    <x v="0"/>
    <n v="0"/>
    <x v="3"/>
    <x v="0"/>
    <n v="50"/>
    <x v="0"/>
    <x v="0"/>
  </r>
  <r>
    <n v="27974"/>
    <x v="1"/>
    <x v="1"/>
    <n v="160000"/>
    <n v="2"/>
    <x v="2"/>
    <s v="Management"/>
    <x v="0"/>
    <n v="4"/>
    <x v="0"/>
    <x v="1"/>
    <n v="33"/>
    <x v="0"/>
    <x v="1"/>
  </r>
  <r>
    <n v="19364"/>
    <x v="0"/>
    <x v="1"/>
    <n v="40000"/>
    <n v="1"/>
    <x v="0"/>
    <s v="Skilled Manual"/>
    <x v="0"/>
    <n v="0"/>
    <x v="0"/>
    <x v="0"/>
    <n v="43"/>
    <x v="0"/>
    <x v="1"/>
  </r>
  <r>
    <n v="22155"/>
    <x v="0"/>
    <x v="1"/>
    <n v="20000"/>
    <n v="2"/>
    <x v="3"/>
    <s v="Clerical"/>
    <x v="0"/>
    <n v="2"/>
    <x v="2"/>
    <x v="1"/>
    <n v="58"/>
    <x v="1"/>
    <x v="0"/>
  </r>
  <r>
    <n v="19280"/>
    <x v="0"/>
    <x v="1"/>
    <n v="120000"/>
    <n v="2"/>
    <x v="1"/>
    <s v="Manual"/>
    <x v="0"/>
    <n v="1"/>
    <x v="0"/>
    <x v="0"/>
    <n v="40"/>
    <x v="0"/>
    <x v="1"/>
  </r>
  <r>
    <n v="22173"/>
    <x v="0"/>
    <x v="0"/>
    <n v="30000"/>
    <n v="3"/>
    <x v="2"/>
    <s v="Skilled Manual"/>
    <x v="1"/>
    <n v="2"/>
    <x v="3"/>
    <x v="1"/>
    <n v="54"/>
    <x v="0"/>
    <x v="1"/>
  </r>
  <r>
    <n v="12697"/>
    <x v="1"/>
    <x v="0"/>
    <n v="90000"/>
    <n v="0"/>
    <x v="0"/>
    <s v="Professional"/>
    <x v="1"/>
    <n v="4"/>
    <x v="4"/>
    <x v="1"/>
    <n v="36"/>
    <x v="0"/>
    <x v="0"/>
  </r>
  <r>
    <n v="11434"/>
    <x v="0"/>
    <x v="1"/>
    <n v="170000"/>
    <n v="5"/>
    <x v="1"/>
    <s v="Professional"/>
    <x v="0"/>
    <n v="0"/>
    <x v="0"/>
    <x v="0"/>
    <n v="55"/>
    <x v="1"/>
    <x v="0"/>
  </r>
  <r>
    <n v="25323"/>
    <x v="0"/>
    <x v="1"/>
    <n v="40000"/>
    <n v="2"/>
    <x v="1"/>
    <s v="Clerical"/>
    <x v="0"/>
    <n v="1"/>
    <x v="3"/>
    <x v="0"/>
    <n v="35"/>
    <x v="0"/>
    <x v="1"/>
  </r>
  <r>
    <n v="23542"/>
    <x v="1"/>
    <x v="1"/>
    <n v="60000"/>
    <n v="1"/>
    <x v="1"/>
    <s v="Skilled Manual"/>
    <x v="1"/>
    <n v="1"/>
    <x v="0"/>
    <x v="1"/>
    <n v="45"/>
    <x v="0"/>
    <x v="1"/>
  </r>
  <r>
    <n v="20870"/>
    <x v="1"/>
    <x v="0"/>
    <n v="10000"/>
    <n v="2"/>
    <x v="2"/>
    <s v="Manual"/>
    <x v="0"/>
    <n v="1"/>
    <x v="0"/>
    <x v="0"/>
    <n v="38"/>
    <x v="0"/>
    <x v="1"/>
  </r>
  <r>
    <n v="23316"/>
    <x v="1"/>
    <x v="1"/>
    <n v="30000"/>
    <n v="3"/>
    <x v="1"/>
    <s v="Clerical"/>
    <x v="1"/>
    <n v="2"/>
    <x v="3"/>
    <x v="1"/>
    <n v="59"/>
    <x v="1"/>
    <x v="1"/>
  </r>
  <r>
    <n v="12610"/>
    <x v="0"/>
    <x v="0"/>
    <n v="30000"/>
    <n v="1"/>
    <x v="0"/>
    <s v="Clerical"/>
    <x v="0"/>
    <n v="0"/>
    <x v="0"/>
    <x v="0"/>
    <n v="47"/>
    <x v="0"/>
    <x v="0"/>
  </r>
  <r>
    <n v="27183"/>
    <x v="1"/>
    <x v="1"/>
    <n v="40000"/>
    <n v="2"/>
    <x v="1"/>
    <s v="Clerical"/>
    <x v="0"/>
    <n v="1"/>
    <x v="3"/>
    <x v="0"/>
    <n v="35"/>
    <x v="0"/>
    <x v="1"/>
  </r>
  <r>
    <n v="25940"/>
    <x v="1"/>
    <x v="1"/>
    <n v="20000"/>
    <n v="2"/>
    <x v="3"/>
    <s v="Clerical"/>
    <x v="0"/>
    <n v="2"/>
    <x v="2"/>
    <x v="1"/>
    <n v="55"/>
    <x v="1"/>
    <x v="1"/>
  </r>
  <r>
    <n v="25598"/>
    <x v="0"/>
    <x v="0"/>
    <n v="40000"/>
    <n v="0"/>
    <x v="4"/>
    <s v="Clerical"/>
    <x v="0"/>
    <n v="0"/>
    <x v="0"/>
    <x v="0"/>
    <n v="36"/>
    <x v="0"/>
    <x v="1"/>
  </r>
  <r>
    <n v="21564"/>
    <x v="1"/>
    <x v="0"/>
    <n v="80000"/>
    <n v="0"/>
    <x v="0"/>
    <s v="Professional"/>
    <x v="0"/>
    <n v="4"/>
    <x v="4"/>
    <x v="1"/>
    <n v="35"/>
    <x v="0"/>
    <x v="0"/>
  </r>
  <r>
    <n v="19193"/>
    <x v="1"/>
    <x v="1"/>
    <n v="40000"/>
    <n v="2"/>
    <x v="1"/>
    <s v="Clerical"/>
    <x v="0"/>
    <n v="0"/>
    <x v="3"/>
    <x v="0"/>
    <n v="35"/>
    <x v="0"/>
    <x v="1"/>
  </r>
  <r>
    <n v="26412"/>
    <x v="0"/>
    <x v="0"/>
    <n v="80000"/>
    <n v="5"/>
    <x v="2"/>
    <s v="Management"/>
    <x v="1"/>
    <n v="3"/>
    <x v="2"/>
    <x v="0"/>
    <n v="56"/>
    <x v="1"/>
    <x v="0"/>
  </r>
  <r>
    <n v="27184"/>
    <x v="1"/>
    <x v="1"/>
    <n v="40000"/>
    <n v="2"/>
    <x v="1"/>
    <s v="Clerical"/>
    <x v="1"/>
    <n v="1"/>
    <x v="0"/>
    <x v="0"/>
    <n v="34"/>
    <x v="0"/>
    <x v="0"/>
  </r>
  <r>
    <n v="12590"/>
    <x v="1"/>
    <x v="1"/>
    <n v="30000"/>
    <n v="1"/>
    <x v="0"/>
    <s v="Clerical"/>
    <x v="0"/>
    <n v="0"/>
    <x v="0"/>
    <x v="0"/>
    <n v="63"/>
    <x v="1"/>
    <x v="0"/>
  </r>
  <r>
    <n v="17841"/>
    <x v="1"/>
    <x v="1"/>
    <n v="30000"/>
    <n v="0"/>
    <x v="1"/>
    <s v="Clerical"/>
    <x v="1"/>
    <n v="1"/>
    <x v="0"/>
    <x v="0"/>
    <n v="29"/>
    <x v="2"/>
    <x v="1"/>
  </r>
  <r>
    <n v="18283"/>
    <x v="1"/>
    <x v="0"/>
    <n v="100000"/>
    <n v="0"/>
    <x v="0"/>
    <s v="Professional"/>
    <x v="1"/>
    <n v="1"/>
    <x v="2"/>
    <x v="1"/>
    <n v="40"/>
    <x v="0"/>
    <x v="0"/>
  </r>
  <r>
    <n v="18299"/>
    <x v="0"/>
    <x v="1"/>
    <n v="70000"/>
    <n v="5"/>
    <x v="1"/>
    <s v="Skilled Manual"/>
    <x v="0"/>
    <n v="2"/>
    <x v="2"/>
    <x v="1"/>
    <n v="44"/>
    <x v="0"/>
    <x v="0"/>
  </r>
  <r>
    <n v="16466"/>
    <x v="1"/>
    <x v="0"/>
    <n v="20000"/>
    <n v="0"/>
    <x v="3"/>
    <s v="Manual"/>
    <x v="1"/>
    <n v="2"/>
    <x v="0"/>
    <x v="0"/>
    <n v="32"/>
    <x v="0"/>
    <x v="1"/>
  </r>
  <r>
    <n v="19273"/>
    <x v="0"/>
    <x v="0"/>
    <n v="20000"/>
    <n v="2"/>
    <x v="1"/>
    <s v="Manual"/>
    <x v="0"/>
    <n v="0"/>
    <x v="0"/>
    <x v="0"/>
    <n v="63"/>
    <x v="1"/>
    <x v="0"/>
  </r>
  <r>
    <n v="22400"/>
    <x v="0"/>
    <x v="1"/>
    <n v="10000"/>
    <n v="0"/>
    <x v="1"/>
    <s v="Manual"/>
    <x v="1"/>
    <n v="1"/>
    <x v="0"/>
    <x v="1"/>
    <n v="26"/>
    <x v="2"/>
    <x v="1"/>
  </r>
  <r>
    <n v="20942"/>
    <x v="1"/>
    <x v="0"/>
    <n v="20000"/>
    <n v="0"/>
    <x v="2"/>
    <s v="Manual"/>
    <x v="1"/>
    <n v="1"/>
    <x v="2"/>
    <x v="0"/>
    <n v="31"/>
    <x v="0"/>
    <x v="0"/>
  </r>
  <r>
    <n v="18484"/>
    <x v="1"/>
    <x v="1"/>
    <n v="80000"/>
    <n v="2"/>
    <x v="2"/>
    <s v="Skilled Manual"/>
    <x v="1"/>
    <n v="2"/>
    <x v="3"/>
    <x v="1"/>
    <n v="50"/>
    <x v="0"/>
    <x v="1"/>
  </r>
  <r>
    <n v="12291"/>
    <x v="1"/>
    <x v="1"/>
    <n v="90000"/>
    <n v="5"/>
    <x v="1"/>
    <s v="Professional"/>
    <x v="1"/>
    <n v="2"/>
    <x v="1"/>
    <x v="0"/>
    <n v="62"/>
    <x v="1"/>
    <x v="1"/>
  </r>
  <r>
    <n v="28380"/>
    <x v="1"/>
    <x v="0"/>
    <n v="10000"/>
    <n v="5"/>
    <x v="3"/>
    <s v="Manual"/>
    <x v="1"/>
    <n v="2"/>
    <x v="0"/>
    <x v="0"/>
    <n v="41"/>
    <x v="0"/>
    <x v="0"/>
  </r>
  <r>
    <n v="17891"/>
    <x v="0"/>
    <x v="0"/>
    <n v="10000"/>
    <n v="2"/>
    <x v="1"/>
    <s v="Manual"/>
    <x v="0"/>
    <n v="1"/>
    <x v="0"/>
    <x v="0"/>
    <n v="50"/>
    <x v="0"/>
    <x v="1"/>
  </r>
  <r>
    <n v="27832"/>
    <x v="1"/>
    <x v="0"/>
    <n v="30000"/>
    <n v="0"/>
    <x v="1"/>
    <s v="Clerical"/>
    <x v="1"/>
    <n v="1"/>
    <x v="1"/>
    <x v="0"/>
    <n v="30"/>
    <x v="2"/>
    <x v="0"/>
  </r>
  <r>
    <n v="26863"/>
    <x v="1"/>
    <x v="1"/>
    <n v="20000"/>
    <n v="0"/>
    <x v="2"/>
    <s v="Manual"/>
    <x v="1"/>
    <n v="1"/>
    <x v="1"/>
    <x v="0"/>
    <n v="28"/>
    <x v="2"/>
    <x v="0"/>
  </r>
  <r>
    <n v="16259"/>
    <x v="1"/>
    <x v="0"/>
    <n v="10000"/>
    <n v="4"/>
    <x v="3"/>
    <s v="Manual"/>
    <x v="0"/>
    <n v="2"/>
    <x v="0"/>
    <x v="0"/>
    <n v="40"/>
    <x v="0"/>
    <x v="1"/>
  </r>
  <r>
    <n v="27803"/>
    <x v="1"/>
    <x v="0"/>
    <n v="30000"/>
    <n v="2"/>
    <x v="1"/>
    <s v="Clerical"/>
    <x v="1"/>
    <n v="0"/>
    <x v="0"/>
    <x v="0"/>
    <n v="43"/>
    <x v="0"/>
    <x v="0"/>
  </r>
  <r>
    <n v="14347"/>
    <x v="1"/>
    <x v="0"/>
    <n v="40000"/>
    <n v="2"/>
    <x v="0"/>
    <s v="Management"/>
    <x v="0"/>
    <n v="2"/>
    <x v="2"/>
    <x v="1"/>
    <n v="65"/>
    <x v="1"/>
    <x v="1"/>
  </r>
  <r>
    <n v="17703"/>
    <x v="0"/>
    <x v="0"/>
    <n v="10000"/>
    <n v="1"/>
    <x v="4"/>
    <s v="Manual"/>
    <x v="0"/>
    <n v="0"/>
    <x v="0"/>
    <x v="0"/>
    <n v="40"/>
    <x v="0"/>
    <x v="0"/>
  </r>
  <r>
    <n v="17185"/>
    <x v="0"/>
    <x v="0"/>
    <n v="170000"/>
    <n v="4"/>
    <x v="1"/>
    <s v="Professional"/>
    <x v="1"/>
    <n v="3"/>
    <x v="2"/>
    <x v="0"/>
    <n v="48"/>
    <x v="0"/>
    <x v="1"/>
  </r>
  <r>
    <n v="29380"/>
    <x v="0"/>
    <x v="0"/>
    <n v="20000"/>
    <n v="3"/>
    <x v="2"/>
    <s v="Manual"/>
    <x v="0"/>
    <n v="0"/>
    <x v="0"/>
    <x v="0"/>
    <n v="41"/>
    <x v="0"/>
    <x v="1"/>
  </r>
  <r>
    <n v="23986"/>
    <x v="0"/>
    <x v="0"/>
    <n v="20000"/>
    <n v="1"/>
    <x v="0"/>
    <s v="Clerical"/>
    <x v="0"/>
    <n v="0"/>
    <x v="0"/>
    <x v="0"/>
    <n v="66"/>
    <x v="1"/>
    <x v="1"/>
  </r>
  <r>
    <n v="24466"/>
    <x v="0"/>
    <x v="0"/>
    <n v="60000"/>
    <n v="1"/>
    <x v="1"/>
    <s v="Skilled Manual"/>
    <x v="0"/>
    <n v="1"/>
    <x v="2"/>
    <x v="1"/>
    <n v="46"/>
    <x v="0"/>
    <x v="1"/>
  </r>
  <r>
    <n v="29097"/>
    <x v="1"/>
    <x v="0"/>
    <n v="40000"/>
    <n v="2"/>
    <x v="1"/>
    <s v="Skilled Manual"/>
    <x v="0"/>
    <n v="2"/>
    <x v="2"/>
    <x v="1"/>
    <n v="52"/>
    <x v="0"/>
    <x v="1"/>
  </r>
  <r>
    <n v="19487"/>
    <x v="0"/>
    <x v="1"/>
    <n v="30000"/>
    <n v="2"/>
    <x v="1"/>
    <s v="Clerical"/>
    <x v="1"/>
    <n v="2"/>
    <x v="0"/>
    <x v="0"/>
    <n v="42"/>
    <x v="0"/>
    <x v="0"/>
  </r>
  <r>
    <n v="14939"/>
    <x v="1"/>
    <x v="1"/>
    <n v="40000"/>
    <n v="0"/>
    <x v="0"/>
    <s v="Clerical"/>
    <x v="0"/>
    <n v="0"/>
    <x v="0"/>
    <x v="0"/>
    <n v="39"/>
    <x v="0"/>
    <x v="1"/>
  </r>
  <r>
    <n v="13826"/>
    <x v="1"/>
    <x v="0"/>
    <n v="30000"/>
    <n v="0"/>
    <x v="1"/>
    <s v="Clerical"/>
    <x v="1"/>
    <n v="1"/>
    <x v="0"/>
    <x v="0"/>
    <n v="28"/>
    <x v="2"/>
    <x v="0"/>
  </r>
  <r>
    <n v="20619"/>
    <x v="1"/>
    <x v="1"/>
    <n v="80000"/>
    <n v="0"/>
    <x v="0"/>
    <s v="Professional"/>
    <x v="1"/>
    <n v="4"/>
    <x v="4"/>
    <x v="1"/>
    <n v="35"/>
    <x v="0"/>
    <x v="0"/>
  </r>
  <r>
    <n v="12558"/>
    <x v="0"/>
    <x v="0"/>
    <n v="20000"/>
    <n v="1"/>
    <x v="0"/>
    <s v="Clerical"/>
    <x v="0"/>
    <n v="0"/>
    <x v="0"/>
    <x v="0"/>
    <n v="65"/>
    <x v="1"/>
    <x v="0"/>
  </r>
  <r>
    <n v="24871"/>
    <x v="1"/>
    <x v="0"/>
    <n v="90000"/>
    <n v="4"/>
    <x v="2"/>
    <s v="Management"/>
    <x v="1"/>
    <n v="3"/>
    <x v="2"/>
    <x v="0"/>
    <n v="56"/>
    <x v="1"/>
    <x v="0"/>
  </r>
  <r>
    <n v="17319"/>
    <x v="1"/>
    <x v="0"/>
    <n v="70000"/>
    <n v="0"/>
    <x v="0"/>
    <s v="Professional"/>
    <x v="1"/>
    <n v="1"/>
    <x v="2"/>
    <x v="1"/>
    <n v="42"/>
    <x v="0"/>
    <x v="0"/>
  </r>
  <r>
    <n v="28906"/>
    <x v="0"/>
    <x v="1"/>
    <n v="80000"/>
    <n v="4"/>
    <x v="2"/>
    <s v="Professional"/>
    <x v="0"/>
    <n v="2"/>
    <x v="4"/>
    <x v="0"/>
    <n v="54"/>
    <x v="0"/>
    <x v="0"/>
  </r>
  <r>
    <n v="12808"/>
    <x v="0"/>
    <x v="1"/>
    <n v="40000"/>
    <n v="0"/>
    <x v="0"/>
    <s v="Clerical"/>
    <x v="0"/>
    <n v="0"/>
    <x v="0"/>
    <x v="0"/>
    <n v="38"/>
    <x v="0"/>
    <x v="1"/>
  </r>
  <r>
    <n v="20567"/>
    <x v="0"/>
    <x v="1"/>
    <n v="130000"/>
    <n v="4"/>
    <x v="1"/>
    <s v="Professional"/>
    <x v="1"/>
    <n v="4"/>
    <x v="2"/>
    <x v="0"/>
    <n v="61"/>
    <x v="1"/>
    <x v="1"/>
  </r>
  <r>
    <n v="25502"/>
    <x v="0"/>
    <x v="0"/>
    <n v="40000"/>
    <n v="1"/>
    <x v="0"/>
    <s v="Skilled Manual"/>
    <x v="0"/>
    <n v="0"/>
    <x v="0"/>
    <x v="0"/>
    <n v="43"/>
    <x v="0"/>
    <x v="1"/>
  </r>
  <r>
    <n v="15580"/>
    <x v="0"/>
    <x v="1"/>
    <n v="60000"/>
    <n v="2"/>
    <x v="0"/>
    <s v="Professional"/>
    <x v="0"/>
    <n v="1"/>
    <x v="1"/>
    <x v="1"/>
    <n v="38"/>
    <x v="0"/>
    <x v="1"/>
  </r>
  <r>
    <n v="24185"/>
    <x v="1"/>
    <x v="0"/>
    <n v="10000"/>
    <n v="1"/>
    <x v="2"/>
    <s v="Manual"/>
    <x v="1"/>
    <n v="1"/>
    <x v="3"/>
    <x v="0"/>
    <n v="45"/>
    <x v="0"/>
    <x v="0"/>
  </r>
  <r>
    <n v="19291"/>
    <x v="1"/>
    <x v="0"/>
    <n v="10000"/>
    <n v="2"/>
    <x v="2"/>
    <s v="Manual"/>
    <x v="0"/>
    <n v="0"/>
    <x v="0"/>
    <x v="0"/>
    <n v="35"/>
    <x v="0"/>
    <x v="0"/>
  </r>
  <r>
    <n v="16713"/>
    <x v="0"/>
    <x v="1"/>
    <n v="40000"/>
    <n v="2"/>
    <x v="0"/>
    <s v="Management"/>
    <x v="0"/>
    <n v="1"/>
    <x v="0"/>
    <x v="1"/>
    <n v="52"/>
    <x v="0"/>
    <x v="1"/>
  </r>
  <r>
    <n v="16185"/>
    <x v="1"/>
    <x v="1"/>
    <n v="60000"/>
    <n v="4"/>
    <x v="0"/>
    <s v="Professional"/>
    <x v="0"/>
    <n v="3"/>
    <x v="4"/>
    <x v="1"/>
    <n v="41"/>
    <x v="0"/>
    <x v="0"/>
  </r>
  <r>
    <n v="14927"/>
    <x v="0"/>
    <x v="0"/>
    <n v="30000"/>
    <n v="1"/>
    <x v="0"/>
    <s v="Clerical"/>
    <x v="0"/>
    <n v="0"/>
    <x v="0"/>
    <x v="0"/>
    <n v="37"/>
    <x v="0"/>
    <x v="1"/>
  </r>
  <r>
    <n v="29337"/>
    <x v="1"/>
    <x v="1"/>
    <n v="30000"/>
    <n v="2"/>
    <x v="1"/>
    <s v="Clerical"/>
    <x v="0"/>
    <n v="2"/>
    <x v="2"/>
    <x v="1"/>
    <n v="68"/>
    <x v="1"/>
    <x v="0"/>
  </r>
  <r>
    <n v="29355"/>
    <x v="0"/>
    <x v="0"/>
    <n v="40000"/>
    <n v="0"/>
    <x v="4"/>
    <s v="Clerical"/>
    <x v="0"/>
    <n v="0"/>
    <x v="0"/>
    <x v="0"/>
    <n v="37"/>
    <x v="0"/>
    <x v="1"/>
  </r>
  <r>
    <n v="25303"/>
    <x v="1"/>
    <x v="1"/>
    <n v="30000"/>
    <n v="0"/>
    <x v="2"/>
    <s v="Manual"/>
    <x v="0"/>
    <n v="1"/>
    <x v="1"/>
    <x v="0"/>
    <n v="33"/>
    <x v="0"/>
    <x v="1"/>
  </r>
  <r>
    <n v="14813"/>
    <x v="1"/>
    <x v="0"/>
    <n v="20000"/>
    <n v="4"/>
    <x v="2"/>
    <s v="Manual"/>
    <x v="0"/>
    <n v="1"/>
    <x v="0"/>
    <x v="0"/>
    <n v="43"/>
    <x v="0"/>
    <x v="1"/>
  </r>
  <r>
    <n v="16438"/>
    <x v="0"/>
    <x v="0"/>
    <n v="10000"/>
    <n v="0"/>
    <x v="3"/>
    <s v="Manual"/>
    <x v="1"/>
    <n v="2"/>
    <x v="0"/>
    <x v="0"/>
    <n v="30"/>
    <x v="2"/>
    <x v="0"/>
  </r>
  <r>
    <n v="14238"/>
    <x v="0"/>
    <x v="1"/>
    <n v="120000"/>
    <n v="0"/>
    <x v="3"/>
    <s v="Professional"/>
    <x v="0"/>
    <n v="4"/>
    <x v="4"/>
    <x v="1"/>
    <n v="36"/>
    <x v="0"/>
    <x v="1"/>
  </r>
  <r>
    <n v="16200"/>
    <x v="1"/>
    <x v="0"/>
    <n v="10000"/>
    <n v="0"/>
    <x v="3"/>
    <s v="Manual"/>
    <x v="1"/>
    <n v="2"/>
    <x v="0"/>
    <x v="0"/>
    <n v="35"/>
    <x v="0"/>
    <x v="0"/>
  </r>
  <r>
    <n v="24857"/>
    <x v="0"/>
    <x v="0"/>
    <n v="130000"/>
    <n v="3"/>
    <x v="2"/>
    <s v="Professional"/>
    <x v="0"/>
    <n v="4"/>
    <x v="0"/>
    <x v="0"/>
    <n v="52"/>
    <x v="0"/>
    <x v="0"/>
  </r>
  <r>
    <n v="26956"/>
    <x v="1"/>
    <x v="0"/>
    <n v="20000"/>
    <n v="0"/>
    <x v="1"/>
    <s v="Manual"/>
    <x v="1"/>
    <n v="1"/>
    <x v="1"/>
    <x v="0"/>
    <n v="36"/>
    <x v="0"/>
    <x v="1"/>
  </r>
  <r>
    <n v="14517"/>
    <x v="0"/>
    <x v="0"/>
    <n v="20000"/>
    <n v="3"/>
    <x v="2"/>
    <s v="Skilled Manual"/>
    <x v="1"/>
    <n v="2"/>
    <x v="3"/>
    <x v="1"/>
    <n v="62"/>
    <x v="1"/>
    <x v="0"/>
  </r>
  <r>
    <n v="12678"/>
    <x v="1"/>
    <x v="0"/>
    <n v="130000"/>
    <n v="4"/>
    <x v="2"/>
    <s v="Management"/>
    <x v="0"/>
    <n v="4"/>
    <x v="0"/>
    <x v="1"/>
    <n v="31"/>
    <x v="0"/>
    <x v="0"/>
  </r>
  <r>
    <n v="16188"/>
    <x v="1"/>
    <x v="0"/>
    <n v="20000"/>
    <n v="0"/>
    <x v="3"/>
    <s v="Manual"/>
    <x v="1"/>
    <n v="2"/>
    <x v="3"/>
    <x v="0"/>
    <n v="26"/>
    <x v="2"/>
    <x v="0"/>
  </r>
  <r>
    <n v="27969"/>
    <x v="0"/>
    <x v="1"/>
    <n v="80000"/>
    <n v="0"/>
    <x v="0"/>
    <s v="Professional"/>
    <x v="0"/>
    <n v="2"/>
    <x v="4"/>
    <x v="1"/>
    <n v="29"/>
    <x v="2"/>
    <x v="1"/>
  </r>
  <r>
    <n v="15752"/>
    <x v="0"/>
    <x v="1"/>
    <n v="80000"/>
    <n v="2"/>
    <x v="2"/>
    <s v="Skilled Manual"/>
    <x v="1"/>
    <n v="2"/>
    <x v="3"/>
    <x v="1"/>
    <n v="50"/>
    <x v="0"/>
    <x v="1"/>
  </r>
  <r>
    <n v="27745"/>
    <x v="1"/>
    <x v="1"/>
    <n v="40000"/>
    <n v="2"/>
    <x v="0"/>
    <s v="Management"/>
    <x v="0"/>
    <n v="2"/>
    <x v="2"/>
    <x v="1"/>
    <n v="63"/>
    <x v="1"/>
    <x v="1"/>
  </r>
  <r>
    <n v="20828"/>
    <x v="0"/>
    <x v="0"/>
    <n v="30000"/>
    <n v="4"/>
    <x v="4"/>
    <s v="Clerical"/>
    <x v="0"/>
    <n v="0"/>
    <x v="0"/>
    <x v="0"/>
    <n v="45"/>
    <x v="0"/>
    <x v="1"/>
  </r>
  <r>
    <n v="19461"/>
    <x v="1"/>
    <x v="0"/>
    <n v="10000"/>
    <n v="4"/>
    <x v="3"/>
    <s v="Manual"/>
    <x v="0"/>
    <n v="2"/>
    <x v="0"/>
    <x v="0"/>
    <n v="40"/>
    <x v="0"/>
    <x v="0"/>
  </r>
  <r>
    <n v="26941"/>
    <x v="0"/>
    <x v="1"/>
    <n v="30000"/>
    <n v="0"/>
    <x v="0"/>
    <s v="Clerical"/>
    <x v="0"/>
    <n v="0"/>
    <x v="0"/>
    <x v="0"/>
    <n v="47"/>
    <x v="0"/>
    <x v="1"/>
  </r>
  <r>
    <n v="28412"/>
    <x v="1"/>
    <x v="1"/>
    <n v="20000"/>
    <n v="0"/>
    <x v="2"/>
    <s v="Manual"/>
    <x v="1"/>
    <n v="1"/>
    <x v="1"/>
    <x v="0"/>
    <n v="29"/>
    <x v="2"/>
    <x v="0"/>
  </r>
  <r>
    <n v="24485"/>
    <x v="1"/>
    <x v="1"/>
    <n v="40000"/>
    <n v="2"/>
    <x v="0"/>
    <s v="Management"/>
    <x v="1"/>
    <n v="1"/>
    <x v="2"/>
    <x v="1"/>
    <n v="52"/>
    <x v="0"/>
    <x v="1"/>
  </r>
  <r>
    <n v="16514"/>
    <x v="1"/>
    <x v="1"/>
    <n v="10000"/>
    <n v="0"/>
    <x v="1"/>
    <s v="Manual"/>
    <x v="0"/>
    <n v="1"/>
    <x v="3"/>
    <x v="1"/>
    <n v="26"/>
    <x v="2"/>
    <x v="1"/>
  </r>
  <r>
    <n v="17191"/>
    <x v="1"/>
    <x v="1"/>
    <n v="130000"/>
    <n v="3"/>
    <x v="1"/>
    <s v="Professional"/>
    <x v="1"/>
    <n v="3"/>
    <x v="0"/>
    <x v="0"/>
    <n v="51"/>
    <x v="0"/>
    <x v="1"/>
  </r>
  <r>
    <n v="19608"/>
    <x v="0"/>
    <x v="1"/>
    <n v="80000"/>
    <n v="5"/>
    <x v="0"/>
    <s v="Professional"/>
    <x v="0"/>
    <n v="4"/>
    <x v="3"/>
    <x v="1"/>
    <n v="40"/>
    <x v="0"/>
    <x v="0"/>
  </r>
  <r>
    <n v="24119"/>
    <x v="1"/>
    <x v="1"/>
    <n v="30000"/>
    <n v="0"/>
    <x v="1"/>
    <s v="Clerical"/>
    <x v="1"/>
    <n v="1"/>
    <x v="1"/>
    <x v="0"/>
    <n v="29"/>
    <x v="2"/>
    <x v="0"/>
  </r>
  <r>
    <n v="25458"/>
    <x v="0"/>
    <x v="1"/>
    <n v="20000"/>
    <n v="1"/>
    <x v="2"/>
    <s v="Manual"/>
    <x v="1"/>
    <n v="1"/>
    <x v="3"/>
    <x v="0"/>
    <n v="40"/>
    <x v="0"/>
    <x v="1"/>
  </r>
  <r>
    <n v="26886"/>
    <x v="1"/>
    <x v="0"/>
    <n v="30000"/>
    <n v="0"/>
    <x v="1"/>
    <s v="Clerical"/>
    <x v="1"/>
    <n v="1"/>
    <x v="0"/>
    <x v="0"/>
    <n v="29"/>
    <x v="2"/>
    <x v="1"/>
  </r>
  <r>
    <n v="28436"/>
    <x v="1"/>
    <x v="1"/>
    <n v="30000"/>
    <n v="0"/>
    <x v="1"/>
    <s v="Clerical"/>
    <x v="1"/>
    <n v="1"/>
    <x v="0"/>
    <x v="0"/>
    <n v="30"/>
    <x v="2"/>
    <x v="1"/>
  </r>
  <r>
    <n v="19562"/>
    <x v="1"/>
    <x v="0"/>
    <n v="60000"/>
    <n v="2"/>
    <x v="0"/>
    <s v="Professional"/>
    <x v="0"/>
    <n v="1"/>
    <x v="1"/>
    <x v="1"/>
    <n v="37"/>
    <x v="0"/>
    <x v="1"/>
  </r>
  <r>
    <n v="15608"/>
    <x v="1"/>
    <x v="0"/>
    <n v="30000"/>
    <n v="0"/>
    <x v="1"/>
    <s v="Clerical"/>
    <x v="1"/>
    <n v="1"/>
    <x v="1"/>
    <x v="0"/>
    <n v="33"/>
    <x v="0"/>
    <x v="0"/>
  </r>
  <r>
    <n v="16487"/>
    <x v="1"/>
    <x v="0"/>
    <n v="30000"/>
    <n v="3"/>
    <x v="2"/>
    <s v="Skilled Manual"/>
    <x v="0"/>
    <n v="2"/>
    <x v="2"/>
    <x v="1"/>
    <n v="55"/>
    <x v="1"/>
    <x v="0"/>
  </r>
  <r>
    <n v="17197"/>
    <x v="1"/>
    <x v="0"/>
    <n v="90000"/>
    <n v="5"/>
    <x v="1"/>
    <s v="Professional"/>
    <x v="0"/>
    <n v="2"/>
    <x v="4"/>
    <x v="0"/>
    <n v="62"/>
    <x v="1"/>
    <x v="0"/>
  </r>
  <r>
    <n v="12507"/>
    <x v="0"/>
    <x v="1"/>
    <n v="30000"/>
    <n v="1"/>
    <x v="1"/>
    <s v="Clerical"/>
    <x v="0"/>
    <n v="1"/>
    <x v="0"/>
    <x v="0"/>
    <n v="43"/>
    <x v="0"/>
    <x v="0"/>
  </r>
  <r>
    <n v="23940"/>
    <x v="0"/>
    <x v="1"/>
    <n v="40000"/>
    <n v="1"/>
    <x v="0"/>
    <s v="Skilled Manual"/>
    <x v="0"/>
    <n v="1"/>
    <x v="0"/>
    <x v="0"/>
    <n v="44"/>
    <x v="0"/>
    <x v="1"/>
  </r>
  <r>
    <n v="19441"/>
    <x v="0"/>
    <x v="1"/>
    <n v="40000"/>
    <n v="0"/>
    <x v="4"/>
    <s v="Clerical"/>
    <x v="0"/>
    <n v="0"/>
    <x v="0"/>
    <x v="0"/>
    <n v="25"/>
    <x v="2"/>
    <x v="1"/>
  </r>
  <r>
    <n v="26852"/>
    <x v="0"/>
    <x v="0"/>
    <n v="20000"/>
    <n v="3"/>
    <x v="2"/>
    <s v="Manual"/>
    <x v="0"/>
    <n v="2"/>
    <x v="0"/>
    <x v="0"/>
    <n v="43"/>
    <x v="0"/>
    <x v="0"/>
  </r>
  <r>
    <n v="12274"/>
    <x v="1"/>
    <x v="1"/>
    <n v="10000"/>
    <n v="2"/>
    <x v="2"/>
    <s v="Manual"/>
    <x v="0"/>
    <n v="0"/>
    <x v="0"/>
    <x v="0"/>
    <n v="35"/>
    <x v="0"/>
    <x v="0"/>
  </r>
  <r>
    <n v="20236"/>
    <x v="1"/>
    <x v="1"/>
    <n v="60000"/>
    <n v="3"/>
    <x v="0"/>
    <s v="Professional"/>
    <x v="1"/>
    <n v="2"/>
    <x v="0"/>
    <x v="1"/>
    <n v="43"/>
    <x v="0"/>
    <x v="1"/>
  </r>
  <r>
    <n v="24149"/>
    <x v="0"/>
    <x v="1"/>
    <n v="10000"/>
    <n v="2"/>
    <x v="1"/>
    <s v="Manual"/>
    <x v="0"/>
    <n v="0"/>
    <x v="3"/>
    <x v="0"/>
    <n v="49"/>
    <x v="0"/>
    <x v="0"/>
  </r>
  <r>
    <n v="26139"/>
    <x v="1"/>
    <x v="1"/>
    <n v="60000"/>
    <n v="1"/>
    <x v="1"/>
    <s v="Skilled Manual"/>
    <x v="0"/>
    <n v="1"/>
    <x v="2"/>
    <x v="1"/>
    <n v="45"/>
    <x v="0"/>
    <x v="0"/>
  </r>
  <r>
    <n v="18491"/>
    <x v="1"/>
    <x v="0"/>
    <n v="70000"/>
    <n v="2"/>
    <x v="2"/>
    <s v="Professional"/>
    <x v="0"/>
    <n v="2"/>
    <x v="2"/>
    <x v="1"/>
    <n v="49"/>
    <x v="0"/>
    <x v="1"/>
  </r>
  <r>
    <n v="22707"/>
    <x v="1"/>
    <x v="0"/>
    <n v="30000"/>
    <n v="0"/>
    <x v="1"/>
    <s v="Clerical"/>
    <x v="1"/>
    <n v="1"/>
    <x v="1"/>
    <x v="0"/>
    <n v="30"/>
    <x v="2"/>
    <x v="0"/>
  </r>
  <r>
    <n v="20430"/>
    <x v="0"/>
    <x v="1"/>
    <n v="70000"/>
    <n v="2"/>
    <x v="1"/>
    <s v="Skilled Manual"/>
    <x v="0"/>
    <n v="2"/>
    <x v="2"/>
    <x v="1"/>
    <n v="52"/>
    <x v="0"/>
    <x v="1"/>
  </r>
  <r>
    <n v="27494"/>
    <x v="1"/>
    <x v="0"/>
    <n v="40000"/>
    <n v="2"/>
    <x v="1"/>
    <s v="Skilled Manual"/>
    <x v="1"/>
    <n v="2"/>
    <x v="3"/>
    <x v="1"/>
    <n v="53"/>
    <x v="0"/>
    <x v="1"/>
  </r>
  <r>
    <n v="26829"/>
    <x v="0"/>
    <x v="0"/>
    <n v="40000"/>
    <n v="0"/>
    <x v="0"/>
    <s v="Clerical"/>
    <x v="0"/>
    <n v="0"/>
    <x v="0"/>
    <x v="0"/>
    <n v="38"/>
    <x v="0"/>
    <x v="1"/>
  </r>
  <r>
    <n v="28395"/>
    <x v="1"/>
    <x v="1"/>
    <n v="40000"/>
    <n v="0"/>
    <x v="0"/>
    <s v="Professional"/>
    <x v="1"/>
    <n v="0"/>
    <x v="0"/>
    <x v="0"/>
    <n v="39"/>
    <x v="0"/>
    <x v="1"/>
  </r>
  <r>
    <n v="21006"/>
    <x v="1"/>
    <x v="0"/>
    <n v="30000"/>
    <n v="1"/>
    <x v="1"/>
    <s v="Manual"/>
    <x v="1"/>
    <n v="0"/>
    <x v="0"/>
    <x v="0"/>
    <n v="46"/>
    <x v="0"/>
    <x v="1"/>
  </r>
  <r>
    <n v="14682"/>
    <x v="1"/>
    <x v="0"/>
    <n v="70000"/>
    <n v="0"/>
    <x v="0"/>
    <s v="Professional"/>
    <x v="1"/>
    <n v="1"/>
    <x v="2"/>
    <x v="1"/>
    <n v="38"/>
    <x v="0"/>
    <x v="0"/>
  </r>
  <r>
    <n v="17650"/>
    <x v="1"/>
    <x v="0"/>
    <n v="40000"/>
    <n v="2"/>
    <x v="1"/>
    <s v="Clerical"/>
    <x v="0"/>
    <n v="2"/>
    <x v="3"/>
    <x v="0"/>
    <n v="35"/>
    <x v="0"/>
    <x v="0"/>
  </r>
  <r>
    <n v="29191"/>
    <x v="1"/>
    <x v="0"/>
    <n v="130000"/>
    <n v="1"/>
    <x v="4"/>
    <s v="Management"/>
    <x v="1"/>
    <n v="1"/>
    <x v="0"/>
    <x v="1"/>
    <n v="36"/>
    <x v="0"/>
    <x v="1"/>
  </r>
  <r>
    <n v="15030"/>
    <x v="0"/>
    <x v="1"/>
    <n v="20000"/>
    <n v="0"/>
    <x v="0"/>
    <s v="Clerical"/>
    <x v="0"/>
    <n v="0"/>
    <x v="0"/>
    <x v="1"/>
    <n v="26"/>
    <x v="2"/>
    <x v="1"/>
  </r>
  <r>
    <n v="24140"/>
    <x v="1"/>
    <x v="1"/>
    <n v="10000"/>
    <n v="0"/>
    <x v="4"/>
    <s v="Manual"/>
    <x v="1"/>
    <n v="0"/>
    <x v="0"/>
    <x v="0"/>
    <n v="30"/>
    <x v="2"/>
    <x v="1"/>
  </r>
  <r>
    <n v="22496"/>
    <x v="0"/>
    <x v="0"/>
    <n v="30000"/>
    <n v="1"/>
    <x v="0"/>
    <s v="Skilled Manual"/>
    <x v="0"/>
    <n v="2"/>
    <x v="0"/>
    <x v="0"/>
    <n v="42"/>
    <x v="0"/>
    <x v="0"/>
  </r>
  <r>
    <n v="24065"/>
    <x v="1"/>
    <x v="0"/>
    <n v="20000"/>
    <n v="0"/>
    <x v="2"/>
    <s v="Manual"/>
    <x v="0"/>
    <n v="0"/>
    <x v="0"/>
    <x v="0"/>
    <n v="40"/>
    <x v="0"/>
    <x v="1"/>
  </r>
  <r>
    <n v="19914"/>
    <x v="0"/>
    <x v="1"/>
    <n v="80000"/>
    <n v="5"/>
    <x v="0"/>
    <s v="Management"/>
    <x v="0"/>
    <n v="2"/>
    <x v="1"/>
    <x v="0"/>
    <n v="62"/>
    <x v="1"/>
    <x v="0"/>
  </r>
  <r>
    <n v="12871"/>
    <x v="1"/>
    <x v="0"/>
    <n v="30000"/>
    <n v="0"/>
    <x v="1"/>
    <s v="Clerical"/>
    <x v="1"/>
    <n v="1"/>
    <x v="1"/>
    <x v="0"/>
    <n v="29"/>
    <x v="2"/>
    <x v="0"/>
  </r>
  <r>
    <n v="22988"/>
    <x v="0"/>
    <x v="0"/>
    <n v="40000"/>
    <n v="2"/>
    <x v="0"/>
    <s v="Management"/>
    <x v="0"/>
    <n v="2"/>
    <x v="2"/>
    <x v="1"/>
    <n v="66"/>
    <x v="1"/>
    <x v="1"/>
  </r>
  <r>
    <n v="15922"/>
    <x v="0"/>
    <x v="1"/>
    <n v="150000"/>
    <n v="2"/>
    <x v="2"/>
    <s v="Professional"/>
    <x v="0"/>
    <n v="4"/>
    <x v="0"/>
    <x v="0"/>
    <n v="48"/>
    <x v="0"/>
    <x v="0"/>
  </r>
  <r>
    <n v="12344"/>
    <x v="1"/>
    <x v="0"/>
    <n v="80000"/>
    <n v="0"/>
    <x v="0"/>
    <s v="Professional"/>
    <x v="1"/>
    <n v="3"/>
    <x v="4"/>
    <x v="1"/>
    <n v="31"/>
    <x v="0"/>
    <x v="0"/>
  </r>
  <r>
    <n v="23627"/>
    <x v="1"/>
    <x v="0"/>
    <n v="100000"/>
    <n v="3"/>
    <x v="1"/>
    <s v="Management"/>
    <x v="1"/>
    <n v="4"/>
    <x v="2"/>
    <x v="0"/>
    <n v="56"/>
    <x v="1"/>
    <x v="0"/>
  </r>
  <r>
    <n v="27775"/>
    <x v="1"/>
    <x v="0"/>
    <n v="40000"/>
    <n v="0"/>
    <x v="0"/>
    <s v="Clerical"/>
    <x v="1"/>
    <n v="0"/>
    <x v="0"/>
    <x v="0"/>
    <n v="38"/>
    <x v="0"/>
    <x v="1"/>
  </r>
  <r>
    <n v="29301"/>
    <x v="0"/>
    <x v="1"/>
    <n v="80000"/>
    <n v="5"/>
    <x v="0"/>
    <s v="Professional"/>
    <x v="0"/>
    <n v="4"/>
    <x v="3"/>
    <x v="1"/>
    <n v="40"/>
    <x v="0"/>
    <x v="0"/>
  </r>
  <r>
    <n v="12716"/>
    <x v="1"/>
    <x v="1"/>
    <n v="30000"/>
    <n v="0"/>
    <x v="1"/>
    <s v="Clerical"/>
    <x v="0"/>
    <n v="1"/>
    <x v="1"/>
    <x v="0"/>
    <n v="32"/>
    <x v="0"/>
    <x v="0"/>
  </r>
  <r>
    <n v="12472"/>
    <x v="0"/>
    <x v="1"/>
    <n v="30000"/>
    <n v="1"/>
    <x v="0"/>
    <s v="Clerical"/>
    <x v="0"/>
    <n v="1"/>
    <x v="1"/>
    <x v="0"/>
    <n v="39"/>
    <x v="0"/>
    <x v="0"/>
  </r>
  <r>
    <n v="20970"/>
    <x v="1"/>
    <x v="1"/>
    <n v="10000"/>
    <n v="2"/>
    <x v="1"/>
    <s v="Manual"/>
    <x v="0"/>
    <n v="1"/>
    <x v="0"/>
    <x v="0"/>
    <n v="52"/>
    <x v="0"/>
    <x v="1"/>
  </r>
  <r>
    <n v="26818"/>
    <x v="1"/>
    <x v="1"/>
    <n v="10000"/>
    <n v="3"/>
    <x v="2"/>
    <s v="Manual"/>
    <x v="0"/>
    <n v="1"/>
    <x v="0"/>
    <x v="0"/>
    <n v="39"/>
    <x v="0"/>
    <x v="1"/>
  </r>
  <r>
    <n v="12993"/>
    <x v="0"/>
    <x v="1"/>
    <n v="60000"/>
    <n v="2"/>
    <x v="0"/>
    <s v="Professional"/>
    <x v="0"/>
    <n v="1"/>
    <x v="1"/>
    <x v="1"/>
    <n v="37"/>
    <x v="0"/>
    <x v="0"/>
  </r>
  <r>
    <n v="14192"/>
    <x v="0"/>
    <x v="1"/>
    <n v="90000"/>
    <n v="4"/>
    <x v="2"/>
    <s v="Management"/>
    <x v="0"/>
    <n v="3"/>
    <x v="2"/>
    <x v="0"/>
    <n v="56"/>
    <x v="1"/>
    <x v="1"/>
  </r>
  <r>
    <n v="19477"/>
    <x v="0"/>
    <x v="1"/>
    <n v="40000"/>
    <n v="0"/>
    <x v="0"/>
    <s v="Professional"/>
    <x v="0"/>
    <n v="0"/>
    <x v="0"/>
    <x v="0"/>
    <n v="40"/>
    <x v="0"/>
    <x v="1"/>
  </r>
  <r>
    <n v="26796"/>
    <x v="1"/>
    <x v="1"/>
    <n v="40000"/>
    <n v="2"/>
    <x v="0"/>
    <s v="Management"/>
    <x v="0"/>
    <n v="2"/>
    <x v="2"/>
    <x v="1"/>
    <n v="65"/>
    <x v="1"/>
    <x v="1"/>
  </r>
  <r>
    <n v="21094"/>
    <x v="1"/>
    <x v="0"/>
    <n v="30000"/>
    <n v="2"/>
    <x v="1"/>
    <s v="Clerical"/>
    <x v="0"/>
    <n v="2"/>
    <x v="0"/>
    <x v="0"/>
    <n v="42"/>
    <x v="0"/>
    <x v="0"/>
  </r>
  <r>
    <n v="12234"/>
    <x v="0"/>
    <x v="1"/>
    <n v="10000"/>
    <n v="2"/>
    <x v="1"/>
    <s v="Manual"/>
    <x v="0"/>
    <n v="1"/>
    <x v="1"/>
    <x v="0"/>
    <n v="52"/>
    <x v="0"/>
    <x v="0"/>
  </r>
  <r>
    <n v="28683"/>
    <x v="1"/>
    <x v="0"/>
    <n v="10000"/>
    <n v="1"/>
    <x v="2"/>
    <s v="Manual"/>
    <x v="1"/>
    <n v="1"/>
    <x v="2"/>
    <x v="0"/>
    <n v="35"/>
    <x v="0"/>
    <x v="1"/>
  </r>
  <r>
    <n v="17994"/>
    <x v="1"/>
    <x v="1"/>
    <n v="20000"/>
    <n v="2"/>
    <x v="2"/>
    <s v="Manual"/>
    <x v="0"/>
    <n v="2"/>
    <x v="0"/>
    <x v="0"/>
    <n v="42"/>
    <x v="0"/>
    <x v="0"/>
  </r>
  <r>
    <n v="24273"/>
    <x v="0"/>
    <x v="0"/>
    <n v="20000"/>
    <n v="2"/>
    <x v="3"/>
    <s v="Clerical"/>
    <x v="0"/>
    <n v="2"/>
    <x v="2"/>
    <x v="1"/>
    <n v="55"/>
    <x v="1"/>
    <x v="1"/>
  </r>
  <r>
    <n v="26547"/>
    <x v="1"/>
    <x v="0"/>
    <n v="30000"/>
    <n v="2"/>
    <x v="1"/>
    <s v="Clerical"/>
    <x v="1"/>
    <n v="2"/>
    <x v="2"/>
    <x v="1"/>
    <n v="60"/>
    <x v="1"/>
    <x v="1"/>
  </r>
  <r>
    <n v="22500"/>
    <x v="1"/>
    <x v="1"/>
    <n v="40000"/>
    <n v="0"/>
    <x v="0"/>
    <s v="Professional"/>
    <x v="1"/>
    <n v="0"/>
    <x v="0"/>
    <x v="0"/>
    <n v="40"/>
    <x v="0"/>
    <x v="1"/>
  </r>
  <r>
    <n v="23993"/>
    <x v="1"/>
    <x v="0"/>
    <n v="10000"/>
    <n v="0"/>
    <x v="1"/>
    <s v="Manual"/>
    <x v="1"/>
    <n v="1"/>
    <x v="0"/>
    <x v="1"/>
    <n v="26"/>
    <x v="2"/>
    <x v="1"/>
  </r>
  <r>
    <n v="14832"/>
    <x v="0"/>
    <x v="1"/>
    <n v="40000"/>
    <n v="1"/>
    <x v="0"/>
    <s v="Skilled Manual"/>
    <x v="0"/>
    <n v="0"/>
    <x v="0"/>
    <x v="0"/>
    <n v="42"/>
    <x v="0"/>
    <x v="1"/>
  </r>
  <r>
    <n v="16614"/>
    <x v="0"/>
    <x v="0"/>
    <n v="80000"/>
    <n v="0"/>
    <x v="0"/>
    <s v="Professional"/>
    <x v="0"/>
    <n v="3"/>
    <x v="4"/>
    <x v="1"/>
    <n v="32"/>
    <x v="0"/>
    <x v="0"/>
  </r>
  <r>
    <n v="20877"/>
    <x v="1"/>
    <x v="1"/>
    <n v="30000"/>
    <n v="1"/>
    <x v="0"/>
    <s v="Clerical"/>
    <x v="0"/>
    <n v="0"/>
    <x v="3"/>
    <x v="0"/>
    <n v="37"/>
    <x v="0"/>
    <x v="1"/>
  </r>
  <r>
    <n v="20729"/>
    <x v="0"/>
    <x v="0"/>
    <n v="40000"/>
    <n v="2"/>
    <x v="1"/>
    <s v="Clerical"/>
    <x v="1"/>
    <n v="1"/>
    <x v="0"/>
    <x v="0"/>
    <n v="34"/>
    <x v="0"/>
    <x v="0"/>
  </r>
  <r>
    <n v="22464"/>
    <x v="0"/>
    <x v="1"/>
    <n v="40000"/>
    <n v="0"/>
    <x v="4"/>
    <s v="Clerical"/>
    <x v="0"/>
    <n v="0"/>
    <x v="0"/>
    <x v="0"/>
    <n v="37"/>
    <x v="0"/>
    <x v="1"/>
  </r>
  <r>
    <n v="19475"/>
    <x v="0"/>
    <x v="0"/>
    <n v="40000"/>
    <n v="0"/>
    <x v="0"/>
    <s v="Professional"/>
    <x v="1"/>
    <n v="0"/>
    <x v="0"/>
    <x v="0"/>
    <n v="40"/>
    <x v="0"/>
    <x v="1"/>
  </r>
  <r>
    <n v="19675"/>
    <x v="0"/>
    <x v="1"/>
    <n v="20000"/>
    <n v="4"/>
    <x v="2"/>
    <s v="Skilled Manual"/>
    <x v="0"/>
    <n v="2"/>
    <x v="2"/>
    <x v="1"/>
    <n v="60"/>
    <x v="1"/>
    <x v="0"/>
  </r>
  <r>
    <n v="12728"/>
    <x v="1"/>
    <x v="1"/>
    <n v="30000"/>
    <n v="0"/>
    <x v="1"/>
    <s v="Clerical"/>
    <x v="1"/>
    <n v="1"/>
    <x v="3"/>
    <x v="0"/>
    <n v="27"/>
    <x v="2"/>
    <x v="0"/>
  </r>
  <r>
    <n v="26154"/>
    <x v="0"/>
    <x v="1"/>
    <n v="60000"/>
    <n v="1"/>
    <x v="1"/>
    <s v="Skilled Manual"/>
    <x v="0"/>
    <n v="1"/>
    <x v="2"/>
    <x v="1"/>
    <n v="43"/>
    <x v="0"/>
    <x v="1"/>
  </r>
  <r>
    <n v="29117"/>
    <x v="1"/>
    <x v="1"/>
    <n v="100000"/>
    <n v="1"/>
    <x v="0"/>
    <s v="Management"/>
    <x v="1"/>
    <n v="3"/>
    <x v="0"/>
    <x v="1"/>
    <n v="48"/>
    <x v="0"/>
    <x v="0"/>
  </r>
  <r>
    <n v="17845"/>
    <x v="1"/>
    <x v="0"/>
    <n v="20000"/>
    <n v="0"/>
    <x v="3"/>
    <s v="Manual"/>
    <x v="1"/>
    <n v="2"/>
    <x v="3"/>
    <x v="0"/>
    <n v="32"/>
    <x v="0"/>
    <x v="0"/>
  </r>
  <r>
    <n v="25058"/>
    <x v="0"/>
    <x v="1"/>
    <n v="100000"/>
    <n v="1"/>
    <x v="0"/>
    <s v="Management"/>
    <x v="0"/>
    <n v="3"/>
    <x v="1"/>
    <x v="1"/>
    <n v="47"/>
    <x v="0"/>
    <x v="0"/>
  </r>
  <r>
    <n v="23426"/>
    <x v="1"/>
    <x v="1"/>
    <n v="80000"/>
    <n v="5"/>
    <x v="4"/>
    <s v="Management"/>
    <x v="0"/>
    <n v="3"/>
    <x v="0"/>
    <x v="1"/>
    <n v="40"/>
    <x v="0"/>
    <x v="0"/>
  </r>
  <r>
    <n v="14798"/>
    <x v="1"/>
    <x v="0"/>
    <n v="10000"/>
    <n v="4"/>
    <x v="3"/>
    <s v="Manual"/>
    <x v="0"/>
    <n v="2"/>
    <x v="0"/>
    <x v="0"/>
    <n v="41"/>
    <x v="0"/>
    <x v="1"/>
  </r>
  <r>
    <n v="12664"/>
    <x v="0"/>
    <x v="0"/>
    <n v="130000"/>
    <n v="5"/>
    <x v="1"/>
    <s v="Professional"/>
    <x v="0"/>
    <n v="4"/>
    <x v="0"/>
    <x v="0"/>
    <n v="59"/>
    <x v="1"/>
    <x v="0"/>
  </r>
  <r>
    <n v="23979"/>
    <x v="1"/>
    <x v="1"/>
    <n v="10000"/>
    <n v="2"/>
    <x v="1"/>
    <s v="Manual"/>
    <x v="1"/>
    <n v="0"/>
    <x v="0"/>
    <x v="0"/>
    <n v="50"/>
    <x v="0"/>
    <x v="0"/>
  </r>
  <r>
    <n v="25605"/>
    <x v="1"/>
    <x v="0"/>
    <n v="20000"/>
    <n v="2"/>
    <x v="1"/>
    <s v="Manual"/>
    <x v="1"/>
    <n v="1"/>
    <x v="0"/>
    <x v="0"/>
    <n v="54"/>
    <x v="0"/>
    <x v="1"/>
  </r>
  <r>
    <n v="20797"/>
    <x v="0"/>
    <x v="0"/>
    <n v="10000"/>
    <n v="1"/>
    <x v="0"/>
    <s v="Manual"/>
    <x v="0"/>
    <n v="0"/>
    <x v="0"/>
    <x v="0"/>
    <n v="48"/>
    <x v="0"/>
    <x v="0"/>
  </r>
  <r>
    <n v="21980"/>
    <x v="1"/>
    <x v="0"/>
    <n v="60000"/>
    <n v="1"/>
    <x v="0"/>
    <s v="Professional"/>
    <x v="0"/>
    <n v="1"/>
    <x v="2"/>
    <x v="1"/>
    <n v="44"/>
    <x v="0"/>
    <x v="1"/>
  </r>
  <r>
    <n v="25460"/>
    <x v="0"/>
    <x v="0"/>
    <n v="20000"/>
    <n v="2"/>
    <x v="2"/>
    <s v="Manual"/>
    <x v="0"/>
    <n v="0"/>
    <x v="0"/>
    <x v="0"/>
    <n v="40"/>
    <x v="0"/>
    <x v="1"/>
  </r>
  <r>
    <n v="29181"/>
    <x v="1"/>
    <x v="0"/>
    <n v="60000"/>
    <n v="2"/>
    <x v="0"/>
    <s v="Professional"/>
    <x v="1"/>
    <n v="1"/>
    <x v="0"/>
    <x v="1"/>
    <n v="38"/>
    <x v="0"/>
    <x v="1"/>
  </r>
  <r>
    <n v="24279"/>
    <x v="1"/>
    <x v="1"/>
    <n v="40000"/>
    <n v="2"/>
    <x v="1"/>
    <s v="Skilled Manual"/>
    <x v="1"/>
    <n v="2"/>
    <x v="3"/>
    <x v="1"/>
    <n v="52"/>
    <x v="0"/>
    <x v="0"/>
  </r>
  <r>
    <n v="22402"/>
    <x v="0"/>
    <x v="1"/>
    <n v="10000"/>
    <n v="0"/>
    <x v="1"/>
    <s v="Manual"/>
    <x v="0"/>
    <n v="1"/>
    <x v="1"/>
    <x v="1"/>
    <n v="25"/>
    <x v="2"/>
    <x v="1"/>
  </r>
  <r>
    <n v="15465"/>
    <x v="0"/>
    <x v="0"/>
    <n v="10000"/>
    <n v="0"/>
    <x v="1"/>
    <s v="Manual"/>
    <x v="1"/>
    <n v="1"/>
    <x v="0"/>
    <x v="1"/>
    <n v="25"/>
    <x v="2"/>
    <x v="0"/>
  </r>
  <r>
    <n v="26757"/>
    <x v="1"/>
    <x v="1"/>
    <n v="90000"/>
    <n v="1"/>
    <x v="0"/>
    <s v="Professional"/>
    <x v="0"/>
    <n v="1"/>
    <x v="1"/>
    <x v="1"/>
    <n v="47"/>
    <x v="0"/>
    <x v="1"/>
  </r>
  <r>
    <n v="14233"/>
    <x v="1"/>
    <x v="1"/>
    <n v="100000"/>
    <n v="0"/>
    <x v="2"/>
    <s v="Management"/>
    <x v="0"/>
    <n v="3"/>
    <x v="4"/>
    <x v="1"/>
    <n v="35"/>
    <x v="0"/>
    <x v="0"/>
  </r>
  <r>
    <n v="14058"/>
    <x v="1"/>
    <x v="1"/>
    <n v="70000"/>
    <n v="0"/>
    <x v="0"/>
    <s v="Professional"/>
    <x v="1"/>
    <n v="1"/>
    <x v="2"/>
    <x v="1"/>
    <n v="41"/>
    <x v="0"/>
    <x v="1"/>
  </r>
  <r>
    <n v="12273"/>
    <x v="0"/>
    <x v="1"/>
    <n v="30000"/>
    <n v="1"/>
    <x v="0"/>
    <s v="Clerical"/>
    <x v="0"/>
    <n v="0"/>
    <x v="0"/>
    <x v="0"/>
    <n v="47"/>
    <x v="0"/>
    <x v="0"/>
  </r>
  <r>
    <n v="17203"/>
    <x v="0"/>
    <x v="0"/>
    <n v="130000"/>
    <n v="4"/>
    <x v="1"/>
    <s v="Professional"/>
    <x v="0"/>
    <n v="4"/>
    <x v="2"/>
    <x v="0"/>
    <n v="61"/>
    <x v="1"/>
    <x v="1"/>
  </r>
  <r>
    <n v="18144"/>
    <x v="0"/>
    <x v="0"/>
    <n v="80000"/>
    <n v="5"/>
    <x v="0"/>
    <s v="Management"/>
    <x v="0"/>
    <n v="2"/>
    <x v="1"/>
    <x v="0"/>
    <n v="61"/>
    <x v="1"/>
    <x v="0"/>
  </r>
  <r>
    <n v="23963"/>
    <x v="0"/>
    <x v="1"/>
    <n v="10000"/>
    <n v="0"/>
    <x v="3"/>
    <s v="Manual"/>
    <x v="1"/>
    <n v="2"/>
    <x v="0"/>
    <x v="0"/>
    <n v="33"/>
    <x v="0"/>
    <x v="0"/>
  </r>
  <r>
    <n v="17907"/>
    <x v="0"/>
    <x v="0"/>
    <n v="10000"/>
    <n v="0"/>
    <x v="1"/>
    <s v="Manual"/>
    <x v="0"/>
    <n v="1"/>
    <x v="1"/>
    <x v="1"/>
    <n v="27"/>
    <x v="2"/>
    <x v="0"/>
  </r>
  <r>
    <n v="19442"/>
    <x v="1"/>
    <x v="1"/>
    <n v="50000"/>
    <n v="0"/>
    <x v="4"/>
    <s v="Skilled Manual"/>
    <x v="0"/>
    <n v="0"/>
    <x v="0"/>
    <x v="0"/>
    <n v="37"/>
    <x v="0"/>
    <x v="1"/>
  </r>
  <r>
    <n v="17504"/>
    <x v="1"/>
    <x v="0"/>
    <n v="80000"/>
    <n v="2"/>
    <x v="1"/>
    <s v="Skilled Manual"/>
    <x v="0"/>
    <n v="2"/>
    <x v="2"/>
    <x v="1"/>
    <n v="52"/>
    <x v="0"/>
    <x v="1"/>
  </r>
  <r>
    <n v="12253"/>
    <x v="1"/>
    <x v="0"/>
    <n v="20000"/>
    <n v="0"/>
    <x v="1"/>
    <s v="Manual"/>
    <x v="0"/>
    <n v="0"/>
    <x v="0"/>
    <x v="1"/>
    <n v="29"/>
    <x v="2"/>
    <x v="1"/>
  </r>
  <r>
    <n v="27304"/>
    <x v="1"/>
    <x v="0"/>
    <n v="110000"/>
    <n v="2"/>
    <x v="1"/>
    <s v="Professional"/>
    <x v="1"/>
    <n v="3"/>
    <x v="2"/>
    <x v="0"/>
    <n v="48"/>
    <x v="0"/>
    <x v="0"/>
  </r>
  <r>
    <n v="14191"/>
    <x v="0"/>
    <x v="1"/>
    <n v="160000"/>
    <n v="4"/>
    <x v="1"/>
    <s v="Professional"/>
    <x v="1"/>
    <n v="2"/>
    <x v="4"/>
    <x v="0"/>
    <n v="55"/>
    <x v="1"/>
    <x v="1"/>
  </r>
  <r>
    <n v="12212"/>
    <x v="0"/>
    <x v="0"/>
    <n v="10000"/>
    <n v="0"/>
    <x v="4"/>
    <s v="Manual"/>
    <x v="0"/>
    <n v="0"/>
    <x v="0"/>
    <x v="0"/>
    <n v="37"/>
    <x v="0"/>
    <x v="1"/>
  </r>
  <r>
    <n v="25529"/>
    <x v="1"/>
    <x v="1"/>
    <n v="10000"/>
    <n v="1"/>
    <x v="4"/>
    <s v="Manual"/>
    <x v="0"/>
    <n v="0"/>
    <x v="0"/>
    <x v="0"/>
    <n v="44"/>
    <x v="0"/>
    <x v="0"/>
  </r>
  <r>
    <n v="22170"/>
    <x v="0"/>
    <x v="0"/>
    <n v="30000"/>
    <n v="3"/>
    <x v="1"/>
    <s v="Clerical"/>
    <x v="1"/>
    <n v="2"/>
    <x v="3"/>
    <x v="1"/>
    <n v="55"/>
    <x v="1"/>
    <x v="1"/>
  </r>
  <r>
    <n v="19445"/>
    <x v="0"/>
    <x v="0"/>
    <n v="10000"/>
    <n v="2"/>
    <x v="2"/>
    <s v="Manual"/>
    <x v="1"/>
    <n v="1"/>
    <x v="0"/>
    <x v="0"/>
    <n v="38"/>
    <x v="0"/>
    <x v="0"/>
  </r>
  <r>
    <n v="15265"/>
    <x v="1"/>
    <x v="1"/>
    <n v="40000"/>
    <n v="2"/>
    <x v="0"/>
    <s v="Management"/>
    <x v="0"/>
    <n v="2"/>
    <x v="2"/>
    <x v="1"/>
    <n v="66"/>
    <x v="1"/>
    <x v="1"/>
  </r>
  <r>
    <n v="28918"/>
    <x v="0"/>
    <x v="0"/>
    <n v="130000"/>
    <n v="4"/>
    <x v="2"/>
    <s v="Management"/>
    <x v="1"/>
    <n v="4"/>
    <x v="4"/>
    <x v="0"/>
    <n v="58"/>
    <x v="1"/>
    <x v="0"/>
  </r>
  <r>
    <n v="15799"/>
    <x v="0"/>
    <x v="0"/>
    <n v="90000"/>
    <n v="1"/>
    <x v="0"/>
    <s v="Professional"/>
    <x v="0"/>
    <n v="1"/>
    <x v="1"/>
    <x v="1"/>
    <n v="47"/>
    <x v="0"/>
    <x v="1"/>
  </r>
  <r>
    <n v="11047"/>
    <x v="0"/>
    <x v="0"/>
    <n v="30000"/>
    <n v="3"/>
    <x v="2"/>
    <s v="Skilled Manual"/>
    <x v="1"/>
    <n v="2"/>
    <x v="3"/>
    <x v="1"/>
    <n v="56"/>
    <x v="1"/>
    <x v="1"/>
  </r>
  <r>
    <n v="18151"/>
    <x v="1"/>
    <x v="1"/>
    <n v="80000"/>
    <n v="5"/>
    <x v="1"/>
    <s v="Professional"/>
    <x v="1"/>
    <n v="2"/>
    <x v="4"/>
    <x v="0"/>
    <n v="59"/>
    <x v="1"/>
    <x v="0"/>
  </r>
  <r>
    <n v="20606"/>
    <x v="0"/>
    <x v="0"/>
    <n v="70000"/>
    <n v="0"/>
    <x v="0"/>
    <s v="Professional"/>
    <x v="0"/>
    <n v="4"/>
    <x v="4"/>
    <x v="1"/>
    <n v="32"/>
    <x v="0"/>
    <x v="1"/>
  </r>
  <r>
    <n v="19482"/>
    <x v="0"/>
    <x v="1"/>
    <n v="30000"/>
    <n v="1"/>
    <x v="1"/>
    <s v="Clerical"/>
    <x v="0"/>
    <n v="1"/>
    <x v="0"/>
    <x v="0"/>
    <n v="44"/>
    <x v="0"/>
    <x v="1"/>
  </r>
  <r>
    <n v="16489"/>
    <x v="0"/>
    <x v="1"/>
    <n v="30000"/>
    <n v="3"/>
    <x v="2"/>
    <s v="Skilled Manual"/>
    <x v="0"/>
    <n v="2"/>
    <x v="2"/>
    <x v="1"/>
    <n v="55"/>
    <x v="1"/>
    <x v="0"/>
  </r>
  <r>
    <n v="26944"/>
    <x v="1"/>
    <x v="1"/>
    <n v="90000"/>
    <n v="2"/>
    <x v="2"/>
    <s v="Manual"/>
    <x v="0"/>
    <n v="0"/>
    <x v="0"/>
    <x v="0"/>
    <n v="36"/>
    <x v="0"/>
    <x v="1"/>
  </r>
  <r>
    <n v="15682"/>
    <x v="1"/>
    <x v="0"/>
    <n v="80000"/>
    <n v="5"/>
    <x v="0"/>
    <s v="Management"/>
    <x v="0"/>
    <n v="2"/>
    <x v="4"/>
    <x v="0"/>
    <n v="62"/>
    <x v="1"/>
    <x v="0"/>
  </r>
  <r>
    <n v="26032"/>
    <x v="0"/>
    <x v="0"/>
    <n v="70000"/>
    <n v="5"/>
    <x v="0"/>
    <s v="Professional"/>
    <x v="0"/>
    <n v="4"/>
    <x v="4"/>
    <x v="1"/>
    <n v="41"/>
    <x v="0"/>
    <x v="0"/>
  </r>
  <r>
    <n v="17843"/>
    <x v="1"/>
    <x v="0"/>
    <n v="10000"/>
    <n v="0"/>
    <x v="3"/>
    <s v="Manual"/>
    <x v="1"/>
    <n v="2"/>
    <x v="0"/>
    <x v="0"/>
    <n v="32"/>
    <x v="0"/>
    <x v="0"/>
  </r>
  <r>
    <n v="25559"/>
    <x v="1"/>
    <x v="1"/>
    <n v="20000"/>
    <n v="0"/>
    <x v="0"/>
    <s v="Clerical"/>
    <x v="0"/>
    <n v="0"/>
    <x v="0"/>
    <x v="1"/>
    <n v="25"/>
    <x v="2"/>
    <x v="1"/>
  </r>
  <r>
    <n v="16209"/>
    <x v="1"/>
    <x v="0"/>
    <n v="50000"/>
    <n v="0"/>
    <x v="4"/>
    <s v="Skilled Manual"/>
    <x v="0"/>
    <n v="0"/>
    <x v="3"/>
    <x v="0"/>
    <n v="36"/>
    <x v="0"/>
    <x v="0"/>
  </r>
  <r>
    <n v="11147"/>
    <x v="0"/>
    <x v="1"/>
    <n v="60000"/>
    <n v="2"/>
    <x v="4"/>
    <s v="Management"/>
    <x v="0"/>
    <n v="1"/>
    <x v="0"/>
    <x v="1"/>
    <n v="67"/>
    <x v="1"/>
    <x v="1"/>
  </r>
  <r>
    <n v="15214"/>
    <x v="1"/>
    <x v="0"/>
    <n v="100000"/>
    <n v="0"/>
    <x v="4"/>
    <s v="Management"/>
    <x v="1"/>
    <n v="1"/>
    <x v="3"/>
    <x v="1"/>
    <n v="39"/>
    <x v="0"/>
    <x v="1"/>
  </r>
  <r>
    <n v="11453"/>
    <x v="1"/>
    <x v="1"/>
    <n v="80000"/>
    <n v="0"/>
    <x v="0"/>
    <s v="Professional"/>
    <x v="1"/>
    <n v="3"/>
    <x v="4"/>
    <x v="1"/>
    <n v="33"/>
    <x v="0"/>
    <x v="1"/>
  </r>
  <r>
    <n v="24584"/>
    <x v="1"/>
    <x v="1"/>
    <n v="60000"/>
    <n v="0"/>
    <x v="0"/>
    <s v="Professional"/>
    <x v="1"/>
    <n v="3"/>
    <x v="1"/>
    <x v="1"/>
    <n v="31"/>
    <x v="0"/>
    <x v="0"/>
  </r>
  <r>
    <n v="12585"/>
    <x v="0"/>
    <x v="1"/>
    <n v="10000"/>
    <n v="1"/>
    <x v="2"/>
    <s v="Manual"/>
    <x v="0"/>
    <n v="0"/>
    <x v="1"/>
    <x v="1"/>
    <n v="27"/>
    <x v="2"/>
    <x v="1"/>
  </r>
  <r>
    <n v="18626"/>
    <x v="1"/>
    <x v="1"/>
    <n v="40000"/>
    <n v="2"/>
    <x v="1"/>
    <s v="Clerical"/>
    <x v="0"/>
    <n v="0"/>
    <x v="3"/>
    <x v="0"/>
    <n v="33"/>
    <x v="0"/>
    <x v="1"/>
  </r>
  <r>
    <n v="29298"/>
    <x v="1"/>
    <x v="0"/>
    <n v="60000"/>
    <n v="1"/>
    <x v="1"/>
    <s v="Skilled Manual"/>
    <x v="0"/>
    <n v="1"/>
    <x v="2"/>
    <x v="1"/>
    <n v="46"/>
    <x v="0"/>
    <x v="1"/>
  </r>
  <r>
    <n v="24842"/>
    <x v="1"/>
    <x v="0"/>
    <n v="90000"/>
    <n v="3"/>
    <x v="2"/>
    <s v="Professional"/>
    <x v="1"/>
    <n v="1"/>
    <x v="1"/>
    <x v="0"/>
    <n v="51"/>
    <x v="0"/>
    <x v="0"/>
  </r>
  <r>
    <n v="15657"/>
    <x v="0"/>
    <x v="1"/>
    <n v="30000"/>
    <n v="3"/>
    <x v="4"/>
    <s v="Clerical"/>
    <x v="0"/>
    <n v="0"/>
    <x v="0"/>
    <x v="0"/>
    <n v="46"/>
    <x v="0"/>
    <x v="1"/>
  </r>
  <r>
    <n v="11415"/>
    <x v="1"/>
    <x v="1"/>
    <n v="90000"/>
    <n v="5"/>
    <x v="1"/>
    <s v="Professional"/>
    <x v="1"/>
    <n v="2"/>
    <x v="4"/>
    <x v="0"/>
    <n v="62"/>
    <x v="1"/>
    <x v="0"/>
  </r>
  <r>
    <n v="28729"/>
    <x v="1"/>
    <x v="0"/>
    <n v="20000"/>
    <n v="0"/>
    <x v="3"/>
    <s v="Manual"/>
    <x v="0"/>
    <n v="2"/>
    <x v="3"/>
    <x v="0"/>
    <n v="26"/>
    <x v="2"/>
    <x v="1"/>
  </r>
  <r>
    <n v="22633"/>
    <x v="1"/>
    <x v="0"/>
    <n v="40000"/>
    <n v="0"/>
    <x v="4"/>
    <s v="Clerical"/>
    <x v="0"/>
    <n v="0"/>
    <x v="0"/>
    <x v="0"/>
    <n v="37"/>
    <x v="0"/>
    <x v="1"/>
  </r>
  <r>
    <n v="25649"/>
    <x v="1"/>
    <x v="0"/>
    <n v="30000"/>
    <n v="3"/>
    <x v="1"/>
    <s v="Clerical"/>
    <x v="0"/>
    <n v="0"/>
    <x v="0"/>
    <x v="0"/>
    <n v="42"/>
    <x v="0"/>
    <x v="1"/>
  </r>
  <r>
    <n v="14669"/>
    <x v="0"/>
    <x v="0"/>
    <n v="80000"/>
    <n v="4"/>
    <x v="4"/>
    <s v="Management"/>
    <x v="0"/>
    <n v="1"/>
    <x v="0"/>
    <x v="1"/>
    <n v="36"/>
    <x v="0"/>
    <x v="0"/>
  </r>
  <r>
    <n v="19299"/>
    <x v="0"/>
    <x v="0"/>
    <n v="50000"/>
    <n v="0"/>
    <x v="4"/>
    <s v="Skilled Manual"/>
    <x v="0"/>
    <n v="0"/>
    <x v="0"/>
    <x v="0"/>
    <n v="36"/>
    <x v="0"/>
    <x v="1"/>
  </r>
  <r>
    <n v="20946"/>
    <x v="1"/>
    <x v="0"/>
    <n v="30000"/>
    <n v="0"/>
    <x v="1"/>
    <s v="Clerical"/>
    <x v="1"/>
    <n v="1"/>
    <x v="1"/>
    <x v="0"/>
    <n v="30"/>
    <x v="2"/>
    <x v="0"/>
  </r>
  <r>
    <n v="11451"/>
    <x v="1"/>
    <x v="1"/>
    <n v="70000"/>
    <n v="0"/>
    <x v="0"/>
    <s v="Professional"/>
    <x v="1"/>
    <n v="4"/>
    <x v="4"/>
    <x v="1"/>
    <n v="31"/>
    <x v="0"/>
    <x v="1"/>
  </r>
  <r>
    <n v="25553"/>
    <x v="0"/>
    <x v="1"/>
    <n v="30000"/>
    <n v="1"/>
    <x v="0"/>
    <s v="Clerical"/>
    <x v="0"/>
    <n v="0"/>
    <x v="0"/>
    <x v="0"/>
    <n v="65"/>
    <x v="1"/>
    <x v="1"/>
  </r>
  <r>
    <n v="27951"/>
    <x v="1"/>
    <x v="1"/>
    <n v="80000"/>
    <n v="4"/>
    <x v="1"/>
    <s v="Professional"/>
    <x v="1"/>
    <n v="2"/>
    <x v="1"/>
    <x v="0"/>
    <n v="54"/>
    <x v="0"/>
    <x v="1"/>
  </r>
  <r>
    <n v="25026"/>
    <x v="0"/>
    <x v="1"/>
    <n v="20000"/>
    <n v="2"/>
    <x v="3"/>
    <s v="Clerical"/>
    <x v="0"/>
    <n v="3"/>
    <x v="2"/>
    <x v="1"/>
    <n v="54"/>
    <x v="0"/>
    <x v="0"/>
  </r>
  <r>
    <n v="13673"/>
    <x v="1"/>
    <x v="0"/>
    <n v="20000"/>
    <n v="0"/>
    <x v="3"/>
    <s v="Manual"/>
    <x v="1"/>
    <n v="2"/>
    <x v="0"/>
    <x v="0"/>
    <n v="25"/>
    <x v="2"/>
    <x v="0"/>
  </r>
  <r>
    <n v="16043"/>
    <x v="1"/>
    <x v="1"/>
    <n v="10000"/>
    <n v="1"/>
    <x v="0"/>
    <s v="Manual"/>
    <x v="0"/>
    <n v="0"/>
    <x v="0"/>
    <x v="0"/>
    <n v="48"/>
    <x v="0"/>
    <x v="0"/>
  </r>
  <r>
    <n v="22399"/>
    <x v="1"/>
    <x v="1"/>
    <n v="10000"/>
    <n v="0"/>
    <x v="1"/>
    <s v="Manual"/>
    <x v="0"/>
    <n v="1"/>
    <x v="3"/>
    <x v="1"/>
    <n v="26"/>
    <x v="2"/>
    <x v="1"/>
  </r>
  <r>
    <n v="27696"/>
    <x v="0"/>
    <x v="1"/>
    <n v="60000"/>
    <n v="1"/>
    <x v="0"/>
    <s v="Professional"/>
    <x v="0"/>
    <n v="1"/>
    <x v="2"/>
    <x v="1"/>
    <n v="43"/>
    <x v="0"/>
    <x v="1"/>
  </r>
  <r>
    <n v="25313"/>
    <x v="1"/>
    <x v="1"/>
    <n v="10000"/>
    <n v="0"/>
    <x v="3"/>
    <s v="Manual"/>
    <x v="1"/>
    <n v="2"/>
    <x v="3"/>
    <x v="0"/>
    <n v="35"/>
    <x v="0"/>
    <x v="0"/>
  </r>
  <r>
    <n v="13813"/>
    <x v="0"/>
    <x v="0"/>
    <n v="30000"/>
    <n v="3"/>
    <x v="1"/>
    <s v="Clerical"/>
    <x v="1"/>
    <n v="0"/>
    <x v="0"/>
    <x v="0"/>
    <n v="42"/>
    <x v="0"/>
    <x v="0"/>
  </r>
  <r>
    <n v="18711"/>
    <x v="1"/>
    <x v="0"/>
    <n v="70000"/>
    <n v="5"/>
    <x v="0"/>
    <s v="Professional"/>
    <x v="0"/>
    <n v="4"/>
    <x v="4"/>
    <x v="1"/>
    <n v="39"/>
    <x v="0"/>
    <x v="0"/>
  </r>
  <r>
    <n v="19650"/>
    <x v="0"/>
    <x v="0"/>
    <n v="30000"/>
    <n v="2"/>
    <x v="1"/>
    <s v="Clerical"/>
    <x v="1"/>
    <n v="2"/>
    <x v="0"/>
    <x v="1"/>
    <n v="67"/>
    <x v="1"/>
    <x v="0"/>
  </r>
  <r>
    <n v="14135"/>
    <x v="0"/>
    <x v="1"/>
    <n v="20000"/>
    <n v="1"/>
    <x v="1"/>
    <s v="Manual"/>
    <x v="0"/>
    <n v="0"/>
    <x v="3"/>
    <x v="0"/>
    <n v="35"/>
    <x v="0"/>
    <x v="0"/>
  </r>
  <r>
    <n v="12833"/>
    <x v="1"/>
    <x v="0"/>
    <n v="20000"/>
    <n v="3"/>
    <x v="2"/>
    <s v="Manual"/>
    <x v="0"/>
    <n v="1"/>
    <x v="0"/>
    <x v="0"/>
    <n v="42"/>
    <x v="0"/>
    <x v="1"/>
  </r>
  <r>
    <n v="26849"/>
    <x v="0"/>
    <x v="1"/>
    <n v="10000"/>
    <n v="3"/>
    <x v="3"/>
    <s v="Manual"/>
    <x v="0"/>
    <n v="2"/>
    <x v="0"/>
    <x v="0"/>
    <n v="43"/>
    <x v="0"/>
    <x v="0"/>
  </r>
  <r>
    <n v="20962"/>
    <x v="0"/>
    <x v="0"/>
    <n v="20000"/>
    <n v="1"/>
    <x v="4"/>
    <s v="Clerical"/>
    <x v="0"/>
    <n v="0"/>
    <x v="0"/>
    <x v="0"/>
    <n v="45"/>
    <x v="0"/>
    <x v="0"/>
  </r>
  <r>
    <n v="28915"/>
    <x v="1"/>
    <x v="1"/>
    <n v="80000"/>
    <n v="5"/>
    <x v="2"/>
    <s v="Management"/>
    <x v="0"/>
    <n v="3"/>
    <x v="4"/>
    <x v="0"/>
    <n v="57"/>
    <x v="1"/>
    <x v="0"/>
  </r>
  <r>
    <n v="22830"/>
    <x v="0"/>
    <x v="1"/>
    <n v="120000"/>
    <n v="4"/>
    <x v="1"/>
    <s v="Management"/>
    <x v="0"/>
    <n v="3"/>
    <x v="4"/>
    <x v="0"/>
    <n v="56"/>
    <x v="1"/>
    <x v="0"/>
  </r>
  <r>
    <n v="14777"/>
    <x v="0"/>
    <x v="0"/>
    <n v="40000"/>
    <n v="0"/>
    <x v="0"/>
    <s v="Clerical"/>
    <x v="0"/>
    <n v="0"/>
    <x v="0"/>
    <x v="0"/>
    <n v="38"/>
    <x v="0"/>
    <x v="1"/>
  </r>
  <r>
    <n v="12591"/>
    <x v="0"/>
    <x v="0"/>
    <n v="30000"/>
    <n v="4"/>
    <x v="4"/>
    <s v="Clerical"/>
    <x v="0"/>
    <n v="0"/>
    <x v="0"/>
    <x v="0"/>
    <n v="45"/>
    <x v="0"/>
    <x v="0"/>
  </r>
  <r>
    <n v="24174"/>
    <x v="0"/>
    <x v="1"/>
    <n v="20000"/>
    <n v="0"/>
    <x v="0"/>
    <s v="Clerical"/>
    <x v="0"/>
    <n v="0"/>
    <x v="0"/>
    <x v="1"/>
    <n v="27"/>
    <x v="2"/>
    <x v="1"/>
  </r>
  <r>
    <n v="24611"/>
    <x v="1"/>
    <x v="1"/>
    <n v="90000"/>
    <n v="0"/>
    <x v="0"/>
    <s v="Professional"/>
    <x v="1"/>
    <n v="4"/>
    <x v="4"/>
    <x v="1"/>
    <n v="35"/>
    <x v="0"/>
    <x v="1"/>
  </r>
  <r>
    <n v="11340"/>
    <x v="0"/>
    <x v="0"/>
    <n v="10000"/>
    <n v="1"/>
    <x v="4"/>
    <s v="Clerical"/>
    <x v="0"/>
    <n v="0"/>
    <x v="0"/>
    <x v="0"/>
    <n v="70"/>
    <x v="1"/>
    <x v="1"/>
  </r>
  <r>
    <n v="25693"/>
    <x v="1"/>
    <x v="0"/>
    <n v="30000"/>
    <n v="5"/>
    <x v="4"/>
    <s v="Clerical"/>
    <x v="0"/>
    <n v="0"/>
    <x v="0"/>
    <x v="0"/>
    <n v="44"/>
    <x v="0"/>
    <x v="1"/>
  </r>
  <r>
    <n v="25555"/>
    <x v="0"/>
    <x v="0"/>
    <n v="10000"/>
    <n v="0"/>
    <x v="1"/>
    <s v="Manual"/>
    <x v="1"/>
    <n v="1"/>
    <x v="0"/>
    <x v="1"/>
    <n v="26"/>
    <x v="2"/>
    <x v="1"/>
  </r>
  <r>
    <n v="22006"/>
    <x v="0"/>
    <x v="1"/>
    <n v="70000"/>
    <n v="5"/>
    <x v="1"/>
    <s v="Skilled Manual"/>
    <x v="0"/>
    <n v="3"/>
    <x v="2"/>
    <x v="1"/>
    <n v="46"/>
    <x v="0"/>
    <x v="0"/>
  </r>
  <r>
    <n v="20060"/>
    <x v="1"/>
    <x v="0"/>
    <n v="30000"/>
    <n v="0"/>
    <x v="2"/>
    <s v="Manual"/>
    <x v="1"/>
    <n v="1"/>
    <x v="1"/>
    <x v="0"/>
    <n v="34"/>
    <x v="0"/>
    <x v="1"/>
  </r>
  <r>
    <n v="17702"/>
    <x v="0"/>
    <x v="1"/>
    <n v="10000"/>
    <n v="1"/>
    <x v="4"/>
    <s v="Manual"/>
    <x v="0"/>
    <n v="0"/>
    <x v="0"/>
    <x v="0"/>
    <n v="37"/>
    <x v="0"/>
    <x v="0"/>
  </r>
  <r>
    <n v="12503"/>
    <x v="1"/>
    <x v="0"/>
    <n v="30000"/>
    <n v="3"/>
    <x v="1"/>
    <s v="Clerical"/>
    <x v="0"/>
    <n v="2"/>
    <x v="0"/>
    <x v="0"/>
    <n v="27"/>
    <x v="2"/>
    <x v="0"/>
  </r>
  <r>
    <n v="23908"/>
    <x v="1"/>
    <x v="1"/>
    <n v="30000"/>
    <n v="1"/>
    <x v="0"/>
    <s v="Clerical"/>
    <x v="1"/>
    <n v="1"/>
    <x v="0"/>
    <x v="0"/>
    <n v="39"/>
    <x v="0"/>
    <x v="1"/>
  </r>
  <r>
    <n v="22527"/>
    <x v="1"/>
    <x v="0"/>
    <n v="20000"/>
    <n v="0"/>
    <x v="2"/>
    <s v="Manual"/>
    <x v="1"/>
    <n v="1"/>
    <x v="1"/>
    <x v="0"/>
    <n v="29"/>
    <x v="2"/>
    <x v="0"/>
  </r>
  <r>
    <n v="19057"/>
    <x v="0"/>
    <x v="0"/>
    <n v="120000"/>
    <n v="3"/>
    <x v="0"/>
    <s v="Management"/>
    <x v="1"/>
    <n v="2"/>
    <x v="4"/>
    <x v="0"/>
    <n v="52"/>
    <x v="0"/>
    <x v="1"/>
  </r>
  <r>
    <n v="18494"/>
    <x v="0"/>
    <x v="1"/>
    <n v="110000"/>
    <n v="5"/>
    <x v="0"/>
    <s v="Management"/>
    <x v="0"/>
    <n v="4"/>
    <x v="1"/>
    <x v="1"/>
    <n v="48"/>
    <x v="0"/>
    <x v="1"/>
  </r>
  <r>
    <n v="11249"/>
    <x v="0"/>
    <x v="0"/>
    <n v="130000"/>
    <n v="3"/>
    <x v="1"/>
    <s v="Professional"/>
    <x v="0"/>
    <n v="3"/>
    <x v="0"/>
    <x v="0"/>
    <n v="51"/>
    <x v="0"/>
    <x v="1"/>
  </r>
  <r>
    <n v="21568"/>
    <x v="0"/>
    <x v="0"/>
    <n v="100000"/>
    <n v="0"/>
    <x v="2"/>
    <s v="Management"/>
    <x v="0"/>
    <n v="4"/>
    <x v="4"/>
    <x v="1"/>
    <n v="34"/>
    <x v="0"/>
    <x v="1"/>
  </r>
  <r>
    <n v="13981"/>
    <x v="0"/>
    <x v="0"/>
    <n v="10000"/>
    <n v="5"/>
    <x v="2"/>
    <s v="Skilled Manual"/>
    <x v="1"/>
    <n v="3"/>
    <x v="3"/>
    <x v="1"/>
    <n v="62"/>
    <x v="1"/>
    <x v="0"/>
  </r>
  <r>
    <n v="23432"/>
    <x v="1"/>
    <x v="1"/>
    <n v="70000"/>
    <n v="0"/>
    <x v="0"/>
    <s v="Professional"/>
    <x v="0"/>
    <n v="1"/>
    <x v="2"/>
    <x v="1"/>
    <n v="37"/>
    <x v="0"/>
    <x v="1"/>
  </r>
  <r>
    <n v="22931"/>
    <x v="0"/>
    <x v="1"/>
    <n v="100000"/>
    <n v="5"/>
    <x v="4"/>
    <s v="Management"/>
    <x v="1"/>
    <n v="1"/>
    <x v="3"/>
    <x v="1"/>
    <n v="78"/>
    <x v="1"/>
    <x v="1"/>
  </r>
  <r>
    <n v="18172"/>
    <x v="0"/>
    <x v="1"/>
    <n v="130000"/>
    <n v="4"/>
    <x v="2"/>
    <s v="Professional"/>
    <x v="0"/>
    <n v="3"/>
    <x v="0"/>
    <x v="0"/>
    <n v="55"/>
    <x v="1"/>
    <x v="0"/>
  </r>
  <r>
    <n v="12666"/>
    <x v="1"/>
    <x v="1"/>
    <n v="60000"/>
    <n v="0"/>
    <x v="0"/>
    <s v="Professional"/>
    <x v="1"/>
    <n v="4"/>
    <x v="1"/>
    <x v="1"/>
    <n v="31"/>
    <x v="0"/>
    <x v="0"/>
  </r>
  <r>
    <n v="20598"/>
    <x v="0"/>
    <x v="1"/>
    <n v="100000"/>
    <n v="3"/>
    <x v="3"/>
    <s v="Professional"/>
    <x v="0"/>
    <n v="0"/>
    <x v="4"/>
    <x v="0"/>
    <n v="59"/>
    <x v="1"/>
    <x v="1"/>
  </r>
  <r>
    <n v="21375"/>
    <x v="1"/>
    <x v="1"/>
    <n v="20000"/>
    <n v="2"/>
    <x v="3"/>
    <s v="Clerical"/>
    <x v="0"/>
    <n v="2"/>
    <x v="2"/>
    <x v="1"/>
    <n v="57"/>
    <x v="1"/>
    <x v="0"/>
  </r>
  <r>
    <n v="20839"/>
    <x v="1"/>
    <x v="0"/>
    <n v="30000"/>
    <n v="3"/>
    <x v="4"/>
    <s v="Clerical"/>
    <x v="0"/>
    <n v="0"/>
    <x v="0"/>
    <x v="0"/>
    <n v="47"/>
    <x v="0"/>
    <x v="1"/>
  </r>
  <r>
    <n v="21738"/>
    <x v="0"/>
    <x v="1"/>
    <n v="20000"/>
    <n v="1"/>
    <x v="4"/>
    <s v="Clerical"/>
    <x v="0"/>
    <n v="0"/>
    <x v="0"/>
    <x v="0"/>
    <n v="43"/>
    <x v="0"/>
    <x v="0"/>
  </r>
  <r>
    <n v="14164"/>
    <x v="1"/>
    <x v="0"/>
    <n v="50000"/>
    <n v="0"/>
    <x v="4"/>
    <s v="Skilled Manual"/>
    <x v="0"/>
    <n v="0"/>
    <x v="0"/>
    <x v="0"/>
    <n v="36"/>
    <x v="0"/>
    <x v="1"/>
  </r>
  <r>
    <n v="14193"/>
    <x v="1"/>
    <x v="0"/>
    <n v="100000"/>
    <n v="3"/>
    <x v="1"/>
    <s v="Management"/>
    <x v="0"/>
    <n v="4"/>
    <x v="4"/>
    <x v="0"/>
    <n v="56"/>
    <x v="1"/>
    <x v="0"/>
  </r>
  <r>
    <n v="12705"/>
    <x v="0"/>
    <x v="1"/>
    <n v="150000"/>
    <n v="0"/>
    <x v="0"/>
    <s v="Management"/>
    <x v="0"/>
    <n v="4"/>
    <x v="0"/>
    <x v="1"/>
    <n v="37"/>
    <x v="0"/>
    <x v="1"/>
  </r>
  <r>
    <n v="22672"/>
    <x v="1"/>
    <x v="0"/>
    <n v="30000"/>
    <n v="2"/>
    <x v="1"/>
    <s v="Clerical"/>
    <x v="0"/>
    <n v="0"/>
    <x v="0"/>
    <x v="0"/>
    <n v="43"/>
    <x v="0"/>
    <x v="0"/>
  </r>
  <r>
    <n v="26219"/>
    <x v="0"/>
    <x v="0"/>
    <n v="40000"/>
    <n v="1"/>
    <x v="0"/>
    <s v="Skilled Manual"/>
    <x v="0"/>
    <n v="1"/>
    <x v="3"/>
    <x v="0"/>
    <n v="33"/>
    <x v="0"/>
    <x v="1"/>
  </r>
  <r>
    <n v="28468"/>
    <x v="0"/>
    <x v="0"/>
    <n v="10000"/>
    <n v="2"/>
    <x v="1"/>
    <s v="Manual"/>
    <x v="0"/>
    <n v="0"/>
    <x v="3"/>
    <x v="0"/>
    <n v="51"/>
    <x v="0"/>
    <x v="0"/>
  </r>
  <r>
    <n v="23419"/>
    <x v="1"/>
    <x v="0"/>
    <n v="70000"/>
    <n v="5"/>
    <x v="0"/>
    <s v="Professional"/>
    <x v="0"/>
    <n v="3"/>
    <x v="4"/>
    <x v="1"/>
    <n v="39"/>
    <x v="0"/>
    <x v="0"/>
  </r>
  <r>
    <n v="17964"/>
    <x v="0"/>
    <x v="1"/>
    <n v="40000"/>
    <n v="0"/>
    <x v="4"/>
    <s v="Clerical"/>
    <x v="0"/>
    <n v="0"/>
    <x v="0"/>
    <x v="0"/>
    <n v="37"/>
    <x v="0"/>
    <x v="1"/>
  </r>
  <r>
    <n v="20919"/>
    <x v="1"/>
    <x v="0"/>
    <n v="30000"/>
    <n v="2"/>
    <x v="1"/>
    <s v="Clerical"/>
    <x v="0"/>
    <n v="2"/>
    <x v="0"/>
    <x v="0"/>
    <n v="42"/>
    <x v="0"/>
    <x v="0"/>
  </r>
  <r>
    <n v="20927"/>
    <x v="1"/>
    <x v="0"/>
    <n v="20000"/>
    <n v="5"/>
    <x v="2"/>
    <s v="Manual"/>
    <x v="0"/>
    <n v="2"/>
    <x v="0"/>
    <x v="0"/>
    <n v="27"/>
    <x v="2"/>
    <x v="0"/>
  </r>
  <r>
    <n v="13133"/>
    <x v="1"/>
    <x v="1"/>
    <n v="100000"/>
    <n v="5"/>
    <x v="0"/>
    <s v="Professional"/>
    <x v="0"/>
    <n v="1"/>
    <x v="2"/>
    <x v="1"/>
    <n v="47"/>
    <x v="0"/>
    <x v="1"/>
  </r>
  <r>
    <n v="19626"/>
    <x v="0"/>
    <x v="1"/>
    <n v="70000"/>
    <n v="5"/>
    <x v="1"/>
    <s v="Skilled Manual"/>
    <x v="0"/>
    <n v="3"/>
    <x v="2"/>
    <x v="1"/>
    <n v="45"/>
    <x v="0"/>
    <x v="0"/>
  </r>
  <r>
    <n v="21039"/>
    <x v="1"/>
    <x v="0"/>
    <n v="50000"/>
    <n v="0"/>
    <x v="4"/>
    <s v="Skilled Manual"/>
    <x v="1"/>
    <n v="0"/>
    <x v="0"/>
    <x v="0"/>
    <n v="37"/>
    <x v="0"/>
    <x v="1"/>
  </r>
  <r>
    <n v="12231"/>
    <x v="1"/>
    <x v="0"/>
    <n v="10000"/>
    <n v="2"/>
    <x v="1"/>
    <s v="Manual"/>
    <x v="0"/>
    <n v="0"/>
    <x v="0"/>
    <x v="0"/>
    <n v="51"/>
    <x v="0"/>
    <x v="1"/>
  </r>
  <r>
    <n v="25665"/>
    <x v="1"/>
    <x v="0"/>
    <n v="20000"/>
    <n v="0"/>
    <x v="2"/>
    <s v="Manual"/>
    <x v="1"/>
    <n v="1"/>
    <x v="3"/>
    <x v="0"/>
    <n v="28"/>
    <x v="2"/>
    <x v="0"/>
  </r>
  <r>
    <n v="24061"/>
    <x v="0"/>
    <x v="1"/>
    <n v="10000"/>
    <n v="4"/>
    <x v="3"/>
    <s v="Manual"/>
    <x v="0"/>
    <n v="1"/>
    <x v="0"/>
    <x v="0"/>
    <n v="40"/>
    <x v="0"/>
    <x v="1"/>
  </r>
  <r>
    <n v="26879"/>
    <x v="1"/>
    <x v="0"/>
    <n v="20000"/>
    <n v="0"/>
    <x v="2"/>
    <s v="Manual"/>
    <x v="1"/>
    <n v="1"/>
    <x v="1"/>
    <x v="0"/>
    <n v="30"/>
    <x v="2"/>
    <x v="0"/>
  </r>
  <r>
    <n v="12284"/>
    <x v="0"/>
    <x v="0"/>
    <n v="30000"/>
    <n v="0"/>
    <x v="0"/>
    <s v="Clerical"/>
    <x v="1"/>
    <n v="0"/>
    <x v="0"/>
    <x v="0"/>
    <n v="36"/>
    <x v="0"/>
    <x v="1"/>
  </r>
  <r>
    <n v="26654"/>
    <x v="0"/>
    <x v="0"/>
    <n v="90000"/>
    <n v="1"/>
    <x v="4"/>
    <s v="Management"/>
    <x v="0"/>
    <n v="0"/>
    <x v="0"/>
    <x v="1"/>
    <n v="37"/>
    <x v="0"/>
    <x v="1"/>
  </r>
  <r>
    <n v="14545"/>
    <x v="0"/>
    <x v="0"/>
    <n v="10000"/>
    <n v="2"/>
    <x v="1"/>
    <s v="Manual"/>
    <x v="0"/>
    <n v="0"/>
    <x v="3"/>
    <x v="0"/>
    <n v="49"/>
    <x v="0"/>
    <x v="0"/>
  </r>
  <r>
    <n v="24201"/>
    <x v="0"/>
    <x v="0"/>
    <n v="10000"/>
    <n v="2"/>
    <x v="2"/>
    <s v="Manual"/>
    <x v="0"/>
    <n v="0"/>
    <x v="0"/>
    <x v="0"/>
    <n v="37"/>
    <x v="0"/>
    <x v="1"/>
  </r>
  <r>
    <n v="20625"/>
    <x v="0"/>
    <x v="1"/>
    <n v="100000"/>
    <n v="0"/>
    <x v="2"/>
    <s v="Management"/>
    <x v="0"/>
    <n v="3"/>
    <x v="4"/>
    <x v="1"/>
    <n v="35"/>
    <x v="0"/>
    <x v="1"/>
  </r>
  <r>
    <n v="16390"/>
    <x v="1"/>
    <x v="1"/>
    <n v="30000"/>
    <n v="1"/>
    <x v="0"/>
    <s v="Clerical"/>
    <x v="1"/>
    <n v="0"/>
    <x v="0"/>
    <x v="0"/>
    <n v="38"/>
    <x v="0"/>
    <x v="1"/>
  </r>
  <r>
    <n v="14804"/>
    <x v="1"/>
    <x v="0"/>
    <n v="10000"/>
    <n v="3"/>
    <x v="3"/>
    <s v="Manual"/>
    <x v="0"/>
    <n v="2"/>
    <x v="0"/>
    <x v="0"/>
    <n v="43"/>
    <x v="0"/>
    <x v="0"/>
  </r>
  <r>
    <n v="12629"/>
    <x v="1"/>
    <x v="1"/>
    <n v="20000"/>
    <n v="1"/>
    <x v="1"/>
    <s v="Manual"/>
    <x v="1"/>
    <n v="0"/>
    <x v="0"/>
    <x v="0"/>
    <n v="37"/>
    <x v="0"/>
    <x v="0"/>
  </r>
  <r>
    <n v="14696"/>
    <x v="1"/>
    <x v="1"/>
    <n v="10000"/>
    <n v="0"/>
    <x v="3"/>
    <s v="Manual"/>
    <x v="1"/>
    <n v="2"/>
    <x v="0"/>
    <x v="0"/>
    <n v="34"/>
    <x v="0"/>
    <x v="0"/>
  </r>
  <r>
    <n v="22005"/>
    <x v="0"/>
    <x v="0"/>
    <n v="70000"/>
    <n v="5"/>
    <x v="1"/>
    <s v="Skilled Manual"/>
    <x v="1"/>
    <n v="3"/>
    <x v="2"/>
    <x v="1"/>
    <n v="46"/>
    <x v="0"/>
    <x v="0"/>
  </r>
  <r>
    <n v="14544"/>
    <x v="1"/>
    <x v="1"/>
    <n v="10000"/>
    <n v="1"/>
    <x v="1"/>
    <s v="Manual"/>
    <x v="0"/>
    <n v="0"/>
    <x v="0"/>
    <x v="0"/>
    <n v="49"/>
    <x v="0"/>
    <x v="0"/>
  </r>
  <r>
    <n v="14312"/>
    <x v="0"/>
    <x v="0"/>
    <n v="60000"/>
    <n v="1"/>
    <x v="1"/>
    <s v="Skilled Manual"/>
    <x v="0"/>
    <n v="1"/>
    <x v="2"/>
    <x v="1"/>
    <n v="45"/>
    <x v="0"/>
    <x v="0"/>
  </r>
  <r>
    <n v="29120"/>
    <x v="1"/>
    <x v="0"/>
    <n v="100000"/>
    <n v="1"/>
    <x v="0"/>
    <s v="Management"/>
    <x v="0"/>
    <n v="4"/>
    <x v="1"/>
    <x v="1"/>
    <n v="48"/>
    <x v="0"/>
    <x v="0"/>
  </r>
  <r>
    <n v="24187"/>
    <x v="1"/>
    <x v="0"/>
    <n v="30000"/>
    <n v="3"/>
    <x v="4"/>
    <s v="Clerical"/>
    <x v="1"/>
    <n v="0"/>
    <x v="0"/>
    <x v="0"/>
    <n v="46"/>
    <x v="0"/>
    <x v="1"/>
  </r>
  <r>
    <n v="15758"/>
    <x v="0"/>
    <x v="1"/>
    <n v="130000"/>
    <n v="0"/>
    <x v="4"/>
    <s v="Management"/>
    <x v="0"/>
    <n v="0"/>
    <x v="2"/>
    <x v="1"/>
    <n v="48"/>
    <x v="0"/>
    <x v="0"/>
  </r>
  <r>
    <n v="29094"/>
    <x v="0"/>
    <x v="1"/>
    <n v="30000"/>
    <n v="3"/>
    <x v="2"/>
    <s v="Skilled Manual"/>
    <x v="0"/>
    <n v="2"/>
    <x v="2"/>
    <x v="1"/>
    <n v="54"/>
    <x v="0"/>
    <x v="1"/>
  </r>
  <r>
    <n v="28319"/>
    <x v="1"/>
    <x v="0"/>
    <n v="60000"/>
    <n v="1"/>
    <x v="1"/>
    <s v="Skilled Manual"/>
    <x v="1"/>
    <n v="1"/>
    <x v="0"/>
    <x v="1"/>
    <n v="46"/>
    <x v="0"/>
    <x v="1"/>
  </r>
  <r>
    <n v="16406"/>
    <x v="0"/>
    <x v="1"/>
    <n v="40000"/>
    <n v="0"/>
    <x v="0"/>
    <s v="Clerical"/>
    <x v="1"/>
    <n v="0"/>
    <x v="0"/>
    <x v="0"/>
    <n v="38"/>
    <x v="0"/>
    <x v="1"/>
  </r>
  <r>
    <n v="20923"/>
    <x v="0"/>
    <x v="0"/>
    <n v="40000"/>
    <n v="1"/>
    <x v="0"/>
    <s v="Skilled Manual"/>
    <x v="0"/>
    <n v="0"/>
    <x v="0"/>
    <x v="0"/>
    <n v="42"/>
    <x v="0"/>
    <x v="1"/>
  </r>
  <r>
    <n v="11378"/>
    <x v="1"/>
    <x v="0"/>
    <n v="10000"/>
    <n v="1"/>
    <x v="2"/>
    <s v="Manual"/>
    <x v="1"/>
    <n v="1"/>
    <x v="1"/>
    <x v="0"/>
    <n v="46"/>
    <x v="0"/>
    <x v="1"/>
  </r>
  <r>
    <n v="20851"/>
    <x v="1"/>
    <x v="1"/>
    <n v="20000"/>
    <n v="0"/>
    <x v="1"/>
    <s v="Manual"/>
    <x v="1"/>
    <n v="1"/>
    <x v="1"/>
    <x v="0"/>
    <n v="36"/>
    <x v="0"/>
    <x v="1"/>
  </r>
  <r>
    <n v="21557"/>
    <x v="1"/>
    <x v="0"/>
    <n v="110000"/>
    <n v="0"/>
    <x v="1"/>
    <s v="Management"/>
    <x v="0"/>
    <n v="3"/>
    <x v="4"/>
    <x v="1"/>
    <n v="32"/>
    <x v="0"/>
    <x v="1"/>
  </r>
  <r>
    <n v="26663"/>
    <x v="1"/>
    <x v="0"/>
    <n v="60000"/>
    <n v="2"/>
    <x v="0"/>
    <s v="Professional"/>
    <x v="1"/>
    <n v="1"/>
    <x v="0"/>
    <x v="1"/>
    <n v="39"/>
    <x v="0"/>
    <x v="1"/>
  </r>
  <r>
    <n v="11896"/>
    <x v="0"/>
    <x v="1"/>
    <n v="100000"/>
    <n v="1"/>
    <x v="4"/>
    <s v="Management"/>
    <x v="0"/>
    <n v="0"/>
    <x v="1"/>
    <x v="1"/>
    <n v="36"/>
    <x v="0"/>
    <x v="1"/>
  </r>
  <r>
    <n v="14189"/>
    <x v="0"/>
    <x v="0"/>
    <n v="90000"/>
    <n v="4"/>
    <x v="2"/>
    <s v="Professional"/>
    <x v="1"/>
    <n v="2"/>
    <x v="1"/>
    <x v="0"/>
    <n v="54"/>
    <x v="0"/>
    <x v="1"/>
  </r>
  <r>
    <n v="13136"/>
    <x v="0"/>
    <x v="0"/>
    <n v="30000"/>
    <n v="2"/>
    <x v="1"/>
    <s v="Clerical"/>
    <x v="1"/>
    <n v="2"/>
    <x v="2"/>
    <x v="1"/>
    <n v="69"/>
    <x v="1"/>
    <x v="0"/>
  </r>
  <r>
    <n v="25906"/>
    <x v="1"/>
    <x v="0"/>
    <n v="10000"/>
    <n v="5"/>
    <x v="2"/>
    <s v="Skilled Manual"/>
    <x v="1"/>
    <n v="2"/>
    <x v="3"/>
    <x v="1"/>
    <n v="62"/>
    <x v="1"/>
    <x v="0"/>
  </r>
  <r>
    <n v="17926"/>
    <x v="1"/>
    <x v="0"/>
    <n v="40000"/>
    <n v="0"/>
    <x v="0"/>
    <s v="Clerical"/>
    <x v="1"/>
    <n v="0"/>
    <x v="0"/>
    <x v="1"/>
    <n v="28"/>
    <x v="2"/>
    <x v="1"/>
  </r>
  <r>
    <n v="26928"/>
    <x v="1"/>
    <x v="1"/>
    <n v="30000"/>
    <n v="1"/>
    <x v="0"/>
    <s v="Clerical"/>
    <x v="0"/>
    <n v="0"/>
    <x v="0"/>
    <x v="0"/>
    <n v="62"/>
    <x v="1"/>
    <x v="1"/>
  </r>
  <r>
    <n v="20897"/>
    <x v="0"/>
    <x v="0"/>
    <n v="30000"/>
    <n v="1"/>
    <x v="0"/>
    <s v="Skilled Manual"/>
    <x v="0"/>
    <n v="2"/>
    <x v="0"/>
    <x v="0"/>
    <n v="40"/>
    <x v="0"/>
    <x v="0"/>
  </r>
  <r>
    <n v="28207"/>
    <x v="0"/>
    <x v="1"/>
    <n v="80000"/>
    <n v="4"/>
    <x v="4"/>
    <s v="Management"/>
    <x v="0"/>
    <n v="1"/>
    <x v="0"/>
    <x v="1"/>
    <n v="36"/>
    <x v="0"/>
    <x v="1"/>
  </r>
  <r>
    <n v="25923"/>
    <x v="1"/>
    <x v="1"/>
    <n v="10000"/>
    <n v="2"/>
    <x v="3"/>
    <s v="Clerical"/>
    <x v="0"/>
    <n v="2"/>
    <x v="2"/>
    <x v="1"/>
    <n v="58"/>
    <x v="1"/>
    <x v="0"/>
  </r>
  <r>
    <n v="11000"/>
    <x v="0"/>
    <x v="1"/>
    <n v="90000"/>
    <n v="2"/>
    <x v="0"/>
    <s v="Professional"/>
    <x v="0"/>
    <n v="0"/>
    <x v="3"/>
    <x v="1"/>
    <n v="40"/>
    <x v="0"/>
    <x v="1"/>
  </r>
  <r>
    <n v="20974"/>
    <x v="0"/>
    <x v="1"/>
    <n v="10000"/>
    <n v="2"/>
    <x v="0"/>
    <s v="Clerical"/>
    <x v="0"/>
    <n v="1"/>
    <x v="0"/>
    <x v="0"/>
    <n v="66"/>
    <x v="1"/>
    <x v="0"/>
  </r>
  <r>
    <n v="28758"/>
    <x v="0"/>
    <x v="1"/>
    <n v="40000"/>
    <n v="2"/>
    <x v="1"/>
    <s v="Clerical"/>
    <x v="0"/>
    <n v="1"/>
    <x v="3"/>
    <x v="0"/>
    <n v="35"/>
    <x v="0"/>
    <x v="1"/>
  </r>
  <r>
    <n v="11381"/>
    <x v="0"/>
    <x v="0"/>
    <n v="20000"/>
    <n v="2"/>
    <x v="1"/>
    <s v="Manual"/>
    <x v="0"/>
    <n v="1"/>
    <x v="1"/>
    <x v="0"/>
    <n v="47"/>
    <x v="0"/>
    <x v="1"/>
  </r>
  <r>
    <n v="17522"/>
    <x v="0"/>
    <x v="1"/>
    <n v="120000"/>
    <n v="4"/>
    <x v="0"/>
    <s v="Management"/>
    <x v="0"/>
    <n v="1"/>
    <x v="1"/>
    <x v="1"/>
    <n v="47"/>
    <x v="0"/>
    <x v="0"/>
  </r>
  <r>
    <n v="21207"/>
    <x v="0"/>
    <x v="1"/>
    <n v="60000"/>
    <n v="1"/>
    <x v="1"/>
    <s v="Skilled Manual"/>
    <x v="0"/>
    <n v="1"/>
    <x v="2"/>
    <x v="1"/>
    <n v="46"/>
    <x v="0"/>
    <x v="0"/>
  </r>
  <r>
    <n v="28102"/>
    <x v="0"/>
    <x v="1"/>
    <n v="20000"/>
    <n v="4"/>
    <x v="2"/>
    <s v="Skilled Manual"/>
    <x v="0"/>
    <n v="2"/>
    <x v="2"/>
    <x v="1"/>
    <n v="58"/>
    <x v="1"/>
    <x v="1"/>
  </r>
  <r>
    <n v="23105"/>
    <x v="1"/>
    <x v="1"/>
    <n v="40000"/>
    <n v="3"/>
    <x v="3"/>
    <s v="Clerical"/>
    <x v="1"/>
    <n v="2"/>
    <x v="2"/>
    <x v="1"/>
    <n v="52"/>
    <x v="0"/>
    <x v="1"/>
  </r>
  <r>
    <n v="18740"/>
    <x v="0"/>
    <x v="1"/>
    <n v="80000"/>
    <n v="5"/>
    <x v="0"/>
    <s v="Professional"/>
    <x v="1"/>
    <n v="1"/>
    <x v="0"/>
    <x v="1"/>
    <n v="47"/>
    <x v="0"/>
    <x v="1"/>
  </r>
  <r>
    <n v="21213"/>
    <x v="1"/>
    <x v="1"/>
    <n v="70000"/>
    <n v="0"/>
    <x v="0"/>
    <s v="Professional"/>
    <x v="1"/>
    <n v="1"/>
    <x v="2"/>
    <x v="1"/>
    <n v="41"/>
    <x v="0"/>
    <x v="0"/>
  </r>
  <r>
    <n v="17352"/>
    <x v="0"/>
    <x v="1"/>
    <n v="50000"/>
    <n v="2"/>
    <x v="4"/>
    <s v="Management"/>
    <x v="0"/>
    <n v="1"/>
    <x v="2"/>
    <x v="1"/>
    <n v="64"/>
    <x v="1"/>
    <x v="1"/>
  </r>
  <r>
    <n v="14154"/>
    <x v="0"/>
    <x v="1"/>
    <n v="30000"/>
    <n v="0"/>
    <x v="0"/>
    <s v="Clerical"/>
    <x v="0"/>
    <n v="0"/>
    <x v="0"/>
    <x v="0"/>
    <n v="35"/>
    <x v="0"/>
    <x v="1"/>
  </r>
  <r>
    <n v="19066"/>
    <x v="0"/>
    <x v="1"/>
    <n v="130000"/>
    <n v="4"/>
    <x v="1"/>
    <s v="Professional"/>
    <x v="1"/>
    <n v="3"/>
    <x v="4"/>
    <x v="0"/>
    <n v="54"/>
    <x v="0"/>
    <x v="0"/>
  </r>
  <r>
    <n v="11386"/>
    <x v="0"/>
    <x v="0"/>
    <n v="30000"/>
    <n v="3"/>
    <x v="0"/>
    <s v="Clerical"/>
    <x v="0"/>
    <n v="0"/>
    <x v="0"/>
    <x v="0"/>
    <n v="45"/>
    <x v="0"/>
    <x v="0"/>
  </r>
  <r>
    <n v="20228"/>
    <x v="0"/>
    <x v="1"/>
    <n v="100000"/>
    <n v="0"/>
    <x v="4"/>
    <s v="Management"/>
    <x v="0"/>
    <n v="0"/>
    <x v="1"/>
    <x v="1"/>
    <n v="40"/>
    <x v="0"/>
    <x v="1"/>
  </r>
  <r>
    <n v="16675"/>
    <x v="1"/>
    <x v="0"/>
    <n v="160000"/>
    <n v="0"/>
    <x v="4"/>
    <s v="Management"/>
    <x v="1"/>
    <n v="3"/>
    <x v="0"/>
    <x v="1"/>
    <n v="47"/>
    <x v="0"/>
    <x v="1"/>
  </r>
  <r>
    <n v="16410"/>
    <x v="1"/>
    <x v="0"/>
    <n v="10000"/>
    <n v="4"/>
    <x v="3"/>
    <s v="Manual"/>
    <x v="0"/>
    <n v="2"/>
    <x v="0"/>
    <x v="0"/>
    <n v="41"/>
    <x v="0"/>
    <x v="1"/>
  </r>
  <r>
    <n v="27760"/>
    <x v="1"/>
    <x v="0"/>
    <n v="40000"/>
    <n v="0"/>
    <x v="4"/>
    <s v="Clerical"/>
    <x v="1"/>
    <n v="0"/>
    <x v="0"/>
    <x v="0"/>
    <n v="37"/>
    <x v="0"/>
    <x v="1"/>
  </r>
  <r>
    <n v="22930"/>
    <x v="0"/>
    <x v="1"/>
    <n v="90000"/>
    <n v="4"/>
    <x v="0"/>
    <s v="Professional"/>
    <x v="0"/>
    <n v="0"/>
    <x v="3"/>
    <x v="1"/>
    <n v="38"/>
    <x v="0"/>
    <x v="1"/>
  </r>
  <r>
    <n v="23780"/>
    <x v="1"/>
    <x v="1"/>
    <n v="40000"/>
    <n v="2"/>
    <x v="1"/>
    <s v="Clerical"/>
    <x v="1"/>
    <n v="2"/>
    <x v="0"/>
    <x v="0"/>
    <n v="36"/>
    <x v="0"/>
    <x v="1"/>
  </r>
  <r>
    <n v="20994"/>
    <x v="0"/>
    <x v="0"/>
    <n v="20000"/>
    <n v="0"/>
    <x v="0"/>
    <s v="Clerical"/>
    <x v="1"/>
    <n v="0"/>
    <x v="0"/>
    <x v="1"/>
    <n v="26"/>
    <x v="2"/>
    <x v="1"/>
  </r>
  <r>
    <n v="28379"/>
    <x v="0"/>
    <x v="1"/>
    <n v="30000"/>
    <n v="1"/>
    <x v="0"/>
    <s v="Skilled Manual"/>
    <x v="0"/>
    <n v="2"/>
    <x v="0"/>
    <x v="0"/>
    <n v="40"/>
    <x v="0"/>
    <x v="0"/>
  </r>
  <r>
    <n v="14865"/>
    <x v="1"/>
    <x v="1"/>
    <n v="40000"/>
    <n v="2"/>
    <x v="1"/>
    <s v="Clerical"/>
    <x v="0"/>
    <n v="2"/>
    <x v="3"/>
    <x v="0"/>
    <n v="36"/>
    <x v="0"/>
    <x v="0"/>
  </r>
  <r>
    <n v="12663"/>
    <x v="0"/>
    <x v="0"/>
    <n v="90000"/>
    <n v="5"/>
    <x v="3"/>
    <s v="Skilled Manual"/>
    <x v="0"/>
    <n v="2"/>
    <x v="4"/>
    <x v="0"/>
    <n v="59"/>
    <x v="1"/>
    <x v="0"/>
  </r>
  <r>
    <n v="24898"/>
    <x v="1"/>
    <x v="0"/>
    <n v="80000"/>
    <n v="0"/>
    <x v="0"/>
    <s v="Professional"/>
    <x v="0"/>
    <n v="3"/>
    <x v="4"/>
    <x v="1"/>
    <n v="32"/>
    <x v="0"/>
    <x v="0"/>
  </r>
  <r>
    <n v="19508"/>
    <x v="0"/>
    <x v="1"/>
    <n v="10000"/>
    <n v="0"/>
    <x v="3"/>
    <s v="Manual"/>
    <x v="1"/>
    <n v="2"/>
    <x v="0"/>
    <x v="0"/>
    <n v="30"/>
    <x v="2"/>
    <x v="0"/>
  </r>
  <r>
    <n v="11489"/>
    <x v="1"/>
    <x v="0"/>
    <n v="20000"/>
    <n v="0"/>
    <x v="3"/>
    <s v="Manual"/>
    <x v="1"/>
    <n v="2"/>
    <x v="3"/>
    <x v="0"/>
    <n v="35"/>
    <x v="0"/>
    <x v="1"/>
  </r>
  <r>
    <n v="18160"/>
    <x v="0"/>
    <x v="1"/>
    <n v="130000"/>
    <n v="3"/>
    <x v="2"/>
    <s v="Professional"/>
    <x v="0"/>
    <n v="4"/>
    <x v="2"/>
    <x v="0"/>
    <n v="51"/>
    <x v="0"/>
    <x v="1"/>
  </r>
  <r>
    <n v="25241"/>
    <x v="0"/>
    <x v="1"/>
    <n v="90000"/>
    <n v="2"/>
    <x v="0"/>
    <s v="Professional"/>
    <x v="0"/>
    <n v="1"/>
    <x v="2"/>
    <x v="1"/>
    <n v="47"/>
    <x v="0"/>
    <x v="0"/>
  </r>
  <r>
    <n v="24369"/>
    <x v="0"/>
    <x v="1"/>
    <n v="80000"/>
    <n v="5"/>
    <x v="4"/>
    <s v="Management"/>
    <x v="1"/>
    <n v="2"/>
    <x v="0"/>
    <x v="1"/>
    <n v="39"/>
    <x v="0"/>
    <x v="0"/>
  </r>
  <r>
    <n v="27165"/>
    <x v="1"/>
    <x v="1"/>
    <n v="20000"/>
    <n v="0"/>
    <x v="3"/>
    <s v="Manual"/>
    <x v="1"/>
    <n v="2"/>
    <x v="0"/>
    <x v="0"/>
    <n v="34"/>
    <x v="0"/>
    <x v="0"/>
  </r>
  <r>
    <n v="29424"/>
    <x v="0"/>
    <x v="1"/>
    <n v="10000"/>
    <n v="0"/>
    <x v="3"/>
    <s v="Manual"/>
    <x v="0"/>
    <n v="2"/>
    <x v="0"/>
    <x v="0"/>
    <n v="32"/>
    <x v="0"/>
    <x v="0"/>
  </r>
  <r>
    <n v="15926"/>
    <x v="1"/>
    <x v="0"/>
    <n v="120000"/>
    <n v="3"/>
    <x v="2"/>
    <s v="Professional"/>
    <x v="0"/>
    <n v="4"/>
    <x v="2"/>
    <x v="0"/>
    <n v="50"/>
    <x v="0"/>
    <x v="1"/>
  </r>
  <r>
    <n v="14554"/>
    <x v="0"/>
    <x v="1"/>
    <n v="20000"/>
    <n v="1"/>
    <x v="0"/>
    <s v="Clerical"/>
    <x v="0"/>
    <n v="0"/>
    <x v="0"/>
    <x v="0"/>
    <n v="66"/>
    <x v="1"/>
    <x v="0"/>
  </r>
  <r>
    <n v="16468"/>
    <x v="1"/>
    <x v="1"/>
    <n v="30000"/>
    <n v="0"/>
    <x v="1"/>
    <s v="Clerical"/>
    <x v="0"/>
    <n v="1"/>
    <x v="1"/>
    <x v="0"/>
    <n v="30"/>
    <x v="2"/>
    <x v="0"/>
  </r>
  <r>
    <n v="19174"/>
    <x v="1"/>
    <x v="0"/>
    <n v="30000"/>
    <n v="0"/>
    <x v="2"/>
    <s v="Manual"/>
    <x v="1"/>
    <n v="1"/>
    <x v="1"/>
    <x v="0"/>
    <n v="32"/>
    <x v="0"/>
    <x v="1"/>
  </r>
  <r>
    <n v="19183"/>
    <x v="1"/>
    <x v="1"/>
    <n v="10000"/>
    <n v="0"/>
    <x v="3"/>
    <s v="Manual"/>
    <x v="0"/>
    <n v="2"/>
    <x v="3"/>
    <x v="0"/>
    <n v="35"/>
    <x v="0"/>
    <x v="0"/>
  </r>
  <r>
    <n v="13683"/>
    <x v="1"/>
    <x v="0"/>
    <n v="30000"/>
    <n v="0"/>
    <x v="2"/>
    <s v="Manual"/>
    <x v="1"/>
    <n v="1"/>
    <x v="1"/>
    <x v="0"/>
    <n v="32"/>
    <x v="0"/>
    <x v="0"/>
  </r>
  <r>
    <n v="17848"/>
    <x v="1"/>
    <x v="1"/>
    <n v="30000"/>
    <n v="0"/>
    <x v="1"/>
    <s v="Clerical"/>
    <x v="1"/>
    <n v="1"/>
    <x v="1"/>
    <x v="0"/>
    <n v="31"/>
    <x v="0"/>
    <x v="1"/>
  </r>
  <r>
    <n v="17894"/>
    <x v="0"/>
    <x v="0"/>
    <n v="20000"/>
    <n v="1"/>
    <x v="0"/>
    <s v="Clerical"/>
    <x v="0"/>
    <n v="0"/>
    <x v="0"/>
    <x v="0"/>
    <n v="50"/>
    <x v="0"/>
    <x v="1"/>
  </r>
  <r>
    <n v="25651"/>
    <x v="0"/>
    <x v="1"/>
    <n v="40000"/>
    <n v="1"/>
    <x v="0"/>
    <s v="Skilled Manual"/>
    <x v="1"/>
    <n v="0"/>
    <x v="0"/>
    <x v="0"/>
    <n v="43"/>
    <x v="0"/>
    <x v="1"/>
  </r>
  <r>
    <n v="22936"/>
    <x v="1"/>
    <x v="0"/>
    <n v="60000"/>
    <n v="1"/>
    <x v="1"/>
    <s v="Skilled Manual"/>
    <x v="1"/>
    <n v="1"/>
    <x v="0"/>
    <x v="1"/>
    <n v="45"/>
    <x v="0"/>
    <x v="1"/>
  </r>
  <r>
    <n v="23915"/>
    <x v="0"/>
    <x v="1"/>
    <n v="20000"/>
    <n v="2"/>
    <x v="2"/>
    <s v="Manual"/>
    <x v="0"/>
    <n v="2"/>
    <x v="0"/>
    <x v="0"/>
    <n v="42"/>
    <x v="0"/>
    <x v="0"/>
  </r>
  <r>
    <n v="24121"/>
    <x v="1"/>
    <x v="0"/>
    <n v="30000"/>
    <n v="0"/>
    <x v="1"/>
    <s v="Clerical"/>
    <x v="1"/>
    <n v="1"/>
    <x v="0"/>
    <x v="0"/>
    <n v="29"/>
    <x v="2"/>
    <x v="1"/>
  </r>
  <r>
    <n v="27878"/>
    <x v="1"/>
    <x v="1"/>
    <n v="20000"/>
    <n v="0"/>
    <x v="1"/>
    <s v="Manual"/>
    <x v="1"/>
    <n v="0"/>
    <x v="0"/>
    <x v="1"/>
    <n v="28"/>
    <x v="2"/>
    <x v="1"/>
  </r>
  <r>
    <n v="13572"/>
    <x v="1"/>
    <x v="1"/>
    <n v="10000"/>
    <n v="3"/>
    <x v="2"/>
    <s v="Manual"/>
    <x v="0"/>
    <n v="0"/>
    <x v="0"/>
    <x v="0"/>
    <n v="37"/>
    <x v="0"/>
    <x v="1"/>
  </r>
  <r>
    <n v="27941"/>
    <x v="0"/>
    <x v="0"/>
    <n v="80000"/>
    <n v="4"/>
    <x v="1"/>
    <s v="Professional"/>
    <x v="0"/>
    <n v="2"/>
    <x v="1"/>
    <x v="0"/>
    <n v="53"/>
    <x v="0"/>
    <x v="0"/>
  </r>
  <r>
    <n v="26354"/>
    <x v="1"/>
    <x v="1"/>
    <n v="40000"/>
    <n v="0"/>
    <x v="4"/>
    <s v="Clerical"/>
    <x v="1"/>
    <n v="0"/>
    <x v="0"/>
    <x v="0"/>
    <n v="38"/>
    <x v="0"/>
    <x v="1"/>
  </r>
  <r>
    <n v="14785"/>
    <x v="1"/>
    <x v="1"/>
    <n v="30000"/>
    <n v="1"/>
    <x v="0"/>
    <s v="Clerical"/>
    <x v="1"/>
    <n v="1"/>
    <x v="3"/>
    <x v="0"/>
    <n v="39"/>
    <x v="0"/>
    <x v="0"/>
  </r>
  <r>
    <n v="17238"/>
    <x v="1"/>
    <x v="1"/>
    <n v="80000"/>
    <n v="0"/>
    <x v="0"/>
    <s v="Professional"/>
    <x v="0"/>
    <n v="3"/>
    <x v="4"/>
    <x v="1"/>
    <n v="32"/>
    <x v="0"/>
    <x v="0"/>
  </r>
  <r>
    <n v="23608"/>
    <x v="0"/>
    <x v="0"/>
    <n v="150000"/>
    <n v="3"/>
    <x v="2"/>
    <s v="Professional"/>
    <x v="0"/>
    <n v="3"/>
    <x v="0"/>
    <x v="0"/>
    <n v="51"/>
    <x v="0"/>
    <x v="1"/>
  </r>
  <r>
    <n v="22538"/>
    <x v="1"/>
    <x v="0"/>
    <n v="10000"/>
    <n v="0"/>
    <x v="3"/>
    <s v="Manual"/>
    <x v="0"/>
    <n v="2"/>
    <x v="3"/>
    <x v="0"/>
    <n v="33"/>
    <x v="0"/>
    <x v="0"/>
  </r>
  <r>
    <n v="12332"/>
    <x v="0"/>
    <x v="1"/>
    <n v="90000"/>
    <n v="4"/>
    <x v="2"/>
    <s v="Management"/>
    <x v="0"/>
    <n v="3"/>
    <x v="2"/>
    <x v="0"/>
    <n v="58"/>
    <x v="1"/>
    <x v="1"/>
  </r>
  <r>
    <n v="17230"/>
    <x v="0"/>
    <x v="1"/>
    <n v="80000"/>
    <n v="0"/>
    <x v="0"/>
    <s v="Professional"/>
    <x v="0"/>
    <n v="3"/>
    <x v="4"/>
    <x v="1"/>
    <n v="30"/>
    <x v="2"/>
    <x v="0"/>
  </r>
  <r>
    <n v="13082"/>
    <x v="1"/>
    <x v="1"/>
    <n v="130000"/>
    <n v="0"/>
    <x v="4"/>
    <s v="Management"/>
    <x v="0"/>
    <n v="0"/>
    <x v="1"/>
    <x v="1"/>
    <n v="48"/>
    <x v="0"/>
    <x v="1"/>
  </r>
  <r>
    <n v="22518"/>
    <x v="1"/>
    <x v="0"/>
    <n v="30000"/>
    <n v="3"/>
    <x v="1"/>
    <s v="Clerical"/>
    <x v="1"/>
    <n v="2"/>
    <x v="0"/>
    <x v="0"/>
    <n v="27"/>
    <x v="2"/>
    <x v="1"/>
  </r>
  <r>
    <n v="13687"/>
    <x v="0"/>
    <x v="1"/>
    <n v="40000"/>
    <n v="1"/>
    <x v="0"/>
    <s v="Skilled Manual"/>
    <x v="0"/>
    <n v="1"/>
    <x v="0"/>
    <x v="0"/>
    <n v="33"/>
    <x v="0"/>
    <x v="1"/>
  </r>
  <r>
    <n v="23571"/>
    <x v="0"/>
    <x v="0"/>
    <n v="40000"/>
    <n v="2"/>
    <x v="0"/>
    <s v="Management"/>
    <x v="0"/>
    <n v="2"/>
    <x v="0"/>
    <x v="1"/>
    <n v="66"/>
    <x v="1"/>
    <x v="1"/>
  </r>
  <r>
    <n v="19305"/>
    <x v="1"/>
    <x v="0"/>
    <n v="10000"/>
    <n v="2"/>
    <x v="2"/>
    <s v="Manual"/>
    <x v="0"/>
    <n v="1"/>
    <x v="0"/>
    <x v="0"/>
    <n v="38"/>
    <x v="0"/>
    <x v="1"/>
  </r>
  <r>
    <n v="22636"/>
    <x v="1"/>
    <x v="0"/>
    <n v="40000"/>
    <n v="0"/>
    <x v="0"/>
    <s v="Clerical"/>
    <x v="1"/>
    <n v="0"/>
    <x v="0"/>
    <x v="0"/>
    <n v="38"/>
    <x v="0"/>
    <x v="1"/>
  </r>
  <r>
    <n v="17310"/>
    <x v="0"/>
    <x v="1"/>
    <n v="60000"/>
    <n v="1"/>
    <x v="1"/>
    <s v="Skilled Manual"/>
    <x v="0"/>
    <n v="1"/>
    <x v="0"/>
    <x v="1"/>
    <n v="45"/>
    <x v="0"/>
    <x v="1"/>
  </r>
  <r>
    <n v="12133"/>
    <x v="0"/>
    <x v="0"/>
    <n v="130000"/>
    <n v="3"/>
    <x v="1"/>
    <s v="Professional"/>
    <x v="0"/>
    <n v="3"/>
    <x v="2"/>
    <x v="0"/>
    <n v="50"/>
    <x v="0"/>
    <x v="1"/>
  </r>
  <r>
    <n v="25918"/>
    <x v="1"/>
    <x v="0"/>
    <n v="30000"/>
    <n v="2"/>
    <x v="1"/>
    <s v="Clerical"/>
    <x v="1"/>
    <n v="2"/>
    <x v="2"/>
    <x v="1"/>
    <n v="60"/>
    <x v="1"/>
    <x v="1"/>
  </r>
  <r>
    <n v="25752"/>
    <x v="1"/>
    <x v="0"/>
    <n v="20000"/>
    <n v="2"/>
    <x v="1"/>
    <s v="Manual"/>
    <x v="1"/>
    <n v="1"/>
    <x v="0"/>
    <x v="0"/>
    <n v="53"/>
    <x v="0"/>
    <x v="1"/>
  </r>
  <r>
    <n v="17324"/>
    <x v="0"/>
    <x v="0"/>
    <n v="100000"/>
    <n v="4"/>
    <x v="0"/>
    <s v="Professional"/>
    <x v="0"/>
    <n v="1"/>
    <x v="4"/>
    <x v="1"/>
    <n v="46"/>
    <x v="0"/>
    <x v="0"/>
  </r>
  <r>
    <n v="22918"/>
    <x v="1"/>
    <x v="1"/>
    <n v="80000"/>
    <n v="5"/>
    <x v="4"/>
    <s v="Management"/>
    <x v="0"/>
    <n v="3"/>
    <x v="0"/>
    <x v="1"/>
    <n v="50"/>
    <x v="0"/>
    <x v="0"/>
  </r>
  <r>
    <n v="12510"/>
    <x v="0"/>
    <x v="1"/>
    <n v="40000"/>
    <n v="1"/>
    <x v="0"/>
    <s v="Skilled Manual"/>
    <x v="0"/>
    <n v="1"/>
    <x v="0"/>
    <x v="0"/>
    <n v="43"/>
    <x v="0"/>
    <x v="1"/>
  </r>
  <r>
    <n v="25512"/>
    <x v="1"/>
    <x v="1"/>
    <n v="20000"/>
    <n v="0"/>
    <x v="2"/>
    <s v="Manual"/>
    <x v="1"/>
    <n v="1"/>
    <x v="1"/>
    <x v="0"/>
    <n v="30"/>
    <x v="2"/>
    <x v="0"/>
  </r>
  <r>
    <n v="16179"/>
    <x v="1"/>
    <x v="0"/>
    <n v="80000"/>
    <n v="5"/>
    <x v="0"/>
    <s v="Professional"/>
    <x v="0"/>
    <n v="4"/>
    <x v="3"/>
    <x v="1"/>
    <n v="38"/>
    <x v="0"/>
    <x v="0"/>
  </r>
  <r>
    <n v="15628"/>
    <x v="0"/>
    <x v="0"/>
    <n v="40000"/>
    <n v="1"/>
    <x v="0"/>
    <s v="Skilled Manual"/>
    <x v="0"/>
    <n v="1"/>
    <x v="0"/>
    <x v="0"/>
    <n v="89"/>
    <x v="1"/>
    <x v="0"/>
  </r>
  <r>
    <n v="20977"/>
    <x v="0"/>
    <x v="1"/>
    <n v="20000"/>
    <n v="1"/>
    <x v="0"/>
    <s v="Clerical"/>
    <x v="0"/>
    <n v="0"/>
    <x v="0"/>
    <x v="0"/>
    <n v="64"/>
    <x v="1"/>
    <x v="1"/>
  </r>
  <r>
    <n v="18140"/>
    <x v="0"/>
    <x v="1"/>
    <n v="130000"/>
    <n v="3"/>
    <x v="1"/>
    <s v="Professional"/>
    <x v="1"/>
    <n v="3"/>
    <x v="2"/>
    <x v="0"/>
    <n v="51"/>
    <x v="0"/>
    <x v="1"/>
  </r>
  <r>
    <n v="20417"/>
    <x v="0"/>
    <x v="1"/>
    <n v="30000"/>
    <n v="3"/>
    <x v="1"/>
    <s v="Clerical"/>
    <x v="1"/>
    <n v="2"/>
    <x v="2"/>
    <x v="1"/>
    <n v="56"/>
    <x v="1"/>
    <x v="0"/>
  </r>
  <r>
    <n v="18267"/>
    <x v="0"/>
    <x v="1"/>
    <n v="60000"/>
    <n v="3"/>
    <x v="0"/>
    <s v="Professional"/>
    <x v="0"/>
    <n v="2"/>
    <x v="2"/>
    <x v="1"/>
    <n v="43"/>
    <x v="0"/>
    <x v="0"/>
  </r>
  <r>
    <n v="13620"/>
    <x v="1"/>
    <x v="1"/>
    <n v="70000"/>
    <n v="0"/>
    <x v="0"/>
    <s v="Professional"/>
    <x v="1"/>
    <n v="3"/>
    <x v="4"/>
    <x v="1"/>
    <n v="30"/>
    <x v="2"/>
    <x v="1"/>
  </r>
  <r>
    <n v="22974"/>
    <x v="0"/>
    <x v="0"/>
    <n v="30000"/>
    <n v="2"/>
    <x v="1"/>
    <s v="Clerical"/>
    <x v="0"/>
    <n v="2"/>
    <x v="2"/>
    <x v="1"/>
    <n v="69"/>
    <x v="1"/>
    <x v="0"/>
  </r>
  <r>
    <n v="13586"/>
    <x v="0"/>
    <x v="1"/>
    <n v="80000"/>
    <n v="4"/>
    <x v="1"/>
    <s v="Professional"/>
    <x v="0"/>
    <n v="2"/>
    <x v="4"/>
    <x v="0"/>
    <n v="53"/>
    <x v="0"/>
    <x v="0"/>
  </r>
  <r>
    <n v="17978"/>
    <x v="0"/>
    <x v="1"/>
    <n v="40000"/>
    <n v="0"/>
    <x v="4"/>
    <s v="Clerical"/>
    <x v="0"/>
    <n v="0"/>
    <x v="0"/>
    <x v="0"/>
    <n v="37"/>
    <x v="0"/>
    <x v="1"/>
  </r>
  <r>
    <n v="12581"/>
    <x v="1"/>
    <x v="0"/>
    <n v="10000"/>
    <n v="0"/>
    <x v="1"/>
    <s v="Manual"/>
    <x v="1"/>
    <n v="1"/>
    <x v="0"/>
    <x v="1"/>
    <n v="28"/>
    <x v="2"/>
    <x v="1"/>
  </r>
  <r>
    <n v="18018"/>
    <x v="1"/>
    <x v="1"/>
    <n v="30000"/>
    <n v="3"/>
    <x v="1"/>
    <s v="Clerical"/>
    <x v="0"/>
    <n v="0"/>
    <x v="0"/>
    <x v="0"/>
    <n v="43"/>
    <x v="0"/>
    <x v="0"/>
  </r>
  <r>
    <n v="28957"/>
    <x v="1"/>
    <x v="0"/>
    <n v="120000"/>
    <n v="0"/>
    <x v="3"/>
    <s v="Professional"/>
    <x v="0"/>
    <n v="4"/>
    <x v="4"/>
    <x v="1"/>
    <n v="34"/>
    <x v="0"/>
    <x v="1"/>
  </r>
  <r>
    <n v="13690"/>
    <x v="1"/>
    <x v="0"/>
    <n v="20000"/>
    <n v="0"/>
    <x v="3"/>
    <s v="Manual"/>
    <x v="1"/>
    <n v="2"/>
    <x v="3"/>
    <x v="0"/>
    <n v="34"/>
    <x v="0"/>
    <x v="1"/>
  </r>
  <r>
    <n v="12568"/>
    <x v="0"/>
    <x v="0"/>
    <n v="30000"/>
    <n v="1"/>
    <x v="0"/>
    <s v="Clerical"/>
    <x v="0"/>
    <n v="0"/>
    <x v="0"/>
    <x v="0"/>
    <n v="64"/>
    <x v="1"/>
    <x v="0"/>
  </r>
  <r>
    <n v="13122"/>
    <x v="0"/>
    <x v="0"/>
    <n v="80000"/>
    <n v="0"/>
    <x v="0"/>
    <s v="Professional"/>
    <x v="0"/>
    <n v="1"/>
    <x v="3"/>
    <x v="1"/>
    <n v="41"/>
    <x v="0"/>
    <x v="1"/>
  </r>
  <r>
    <n v="21184"/>
    <x v="1"/>
    <x v="1"/>
    <n v="70000"/>
    <n v="0"/>
    <x v="0"/>
    <s v="Professional"/>
    <x v="1"/>
    <n v="1"/>
    <x v="2"/>
    <x v="1"/>
    <n v="38"/>
    <x v="0"/>
    <x v="0"/>
  </r>
  <r>
    <n v="26150"/>
    <x v="1"/>
    <x v="0"/>
    <n v="70000"/>
    <n v="0"/>
    <x v="0"/>
    <s v="Professional"/>
    <x v="1"/>
    <n v="1"/>
    <x v="0"/>
    <x v="1"/>
    <n v="41"/>
    <x v="0"/>
    <x v="1"/>
  </r>
  <r>
    <n v="24151"/>
    <x v="1"/>
    <x v="1"/>
    <n v="20000"/>
    <n v="1"/>
    <x v="0"/>
    <s v="Clerical"/>
    <x v="1"/>
    <n v="0"/>
    <x v="0"/>
    <x v="0"/>
    <n v="51"/>
    <x v="0"/>
    <x v="0"/>
  </r>
  <r>
    <n v="23962"/>
    <x v="0"/>
    <x v="0"/>
    <n v="10000"/>
    <n v="0"/>
    <x v="3"/>
    <s v="Manual"/>
    <x v="0"/>
    <n v="2"/>
    <x v="3"/>
    <x v="0"/>
    <n v="32"/>
    <x v="0"/>
    <x v="0"/>
  </r>
  <r>
    <n v="17793"/>
    <x v="0"/>
    <x v="0"/>
    <n v="40000"/>
    <n v="0"/>
    <x v="0"/>
    <s v="Clerical"/>
    <x v="0"/>
    <n v="0"/>
    <x v="0"/>
    <x v="0"/>
    <n v="38"/>
    <x v="0"/>
    <x v="1"/>
  </r>
  <r>
    <n v="14926"/>
    <x v="0"/>
    <x v="1"/>
    <n v="30000"/>
    <n v="1"/>
    <x v="0"/>
    <s v="Clerical"/>
    <x v="0"/>
    <n v="0"/>
    <x v="0"/>
    <x v="0"/>
    <n v="38"/>
    <x v="0"/>
    <x v="1"/>
  </r>
  <r>
    <n v="16163"/>
    <x v="1"/>
    <x v="1"/>
    <n v="60000"/>
    <n v="2"/>
    <x v="0"/>
    <s v="Professional"/>
    <x v="0"/>
    <n v="1"/>
    <x v="1"/>
    <x v="1"/>
    <n v="38"/>
    <x v="0"/>
    <x v="1"/>
  </r>
  <r>
    <n v="21365"/>
    <x v="0"/>
    <x v="0"/>
    <n v="10000"/>
    <n v="2"/>
    <x v="3"/>
    <s v="Clerical"/>
    <x v="0"/>
    <n v="2"/>
    <x v="2"/>
    <x v="1"/>
    <n v="58"/>
    <x v="1"/>
    <x v="0"/>
  </r>
  <r>
    <n v="27771"/>
    <x v="1"/>
    <x v="1"/>
    <n v="30000"/>
    <n v="1"/>
    <x v="0"/>
    <s v="Clerical"/>
    <x v="0"/>
    <n v="1"/>
    <x v="3"/>
    <x v="0"/>
    <n v="39"/>
    <x v="0"/>
    <x v="1"/>
  </r>
  <r>
    <n v="26167"/>
    <x v="1"/>
    <x v="0"/>
    <n v="40000"/>
    <n v="2"/>
    <x v="0"/>
    <s v="Management"/>
    <x v="1"/>
    <n v="1"/>
    <x v="2"/>
    <x v="1"/>
    <n v="53"/>
    <x v="0"/>
    <x v="1"/>
  </r>
  <r>
    <n v="25792"/>
    <x v="1"/>
    <x v="0"/>
    <n v="110000"/>
    <n v="3"/>
    <x v="0"/>
    <s v="Management"/>
    <x v="0"/>
    <n v="4"/>
    <x v="4"/>
    <x v="0"/>
    <n v="53"/>
    <x v="0"/>
    <x v="0"/>
  </r>
  <r>
    <n v="11555"/>
    <x v="0"/>
    <x v="0"/>
    <n v="40000"/>
    <n v="1"/>
    <x v="0"/>
    <s v="Clerical"/>
    <x v="0"/>
    <n v="0"/>
    <x v="0"/>
    <x v="0"/>
    <n v="80"/>
    <x v="1"/>
    <x v="0"/>
  </r>
  <r>
    <n v="22381"/>
    <x v="0"/>
    <x v="1"/>
    <n v="10000"/>
    <n v="1"/>
    <x v="4"/>
    <s v="Manual"/>
    <x v="0"/>
    <n v="0"/>
    <x v="0"/>
    <x v="0"/>
    <n v="44"/>
    <x v="0"/>
    <x v="0"/>
  </r>
  <r>
    <n v="17882"/>
    <x v="0"/>
    <x v="1"/>
    <n v="20000"/>
    <n v="1"/>
    <x v="4"/>
    <s v="Clerical"/>
    <x v="0"/>
    <n v="0"/>
    <x v="0"/>
    <x v="0"/>
    <n v="44"/>
    <x v="0"/>
    <x v="0"/>
  </r>
  <r>
    <n v="22174"/>
    <x v="0"/>
    <x v="1"/>
    <n v="30000"/>
    <n v="3"/>
    <x v="2"/>
    <s v="Skilled Manual"/>
    <x v="0"/>
    <n v="2"/>
    <x v="2"/>
    <x v="1"/>
    <n v="54"/>
    <x v="0"/>
    <x v="1"/>
  </r>
  <r>
    <n v="22439"/>
    <x v="0"/>
    <x v="0"/>
    <n v="30000"/>
    <n v="0"/>
    <x v="0"/>
    <s v="Clerical"/>
    <x v="0"/>
    <n v="0"/>
    <x v="0"/>
    <x v="0"/>
    <n v="37"/>
    <x v="0"/>
    <x v="1"/>
  </r>
  <r>
    <n v="18012"/>
    <x v="0"/>
    <x v="0"/>
    <n v="40000"/>
    <n v="1"/>
    <x v="0"/>
    <s v="Skilled Manual"/>
    <x v="0"/>
    <n v="0"/>
    <x v="0"/>
    <x v="0"/>
    <n v="41"/>
    <x v="0"/>
    <x v="0"/>
  </r>
  <r>
    <n v="27582"/>
    <x v="1"/>
    <x v="0"/>
    <n v="90000"/>
    <n v="2"/>
    <x v="0"/>
    <s v="Professional"/>
    <x v="1"/>
    <n v="0"/>
    <x v="0"/>
    <x v="1"/>
    <n v="36"/>
    <x v="0"/>
    <x v="1"/>
  </r>
  <r>
    <n v="12744"/>
    <x v="1"/>
    <x v="0"/>
    <n v="40000"/>
    <n v="2"/>
    <x v="1"/>
    <s v="Clerical"/>
    <x v="0"/>
    <n v="0"/>
    <x v="0"/>
    <x v="0"/>
    <n v="33"/>
    <x v="0"/>
    <x v="0"/>
  </r>
  <r>
    <n v="22821"/>
    <x v="0"/>
    <x v="0"/>
    <n v="130000"/>
    <n v="3"/>
    <x v="1"/>
    <s v="Professional"/>
    <x v="0"/>
    <n v="4"/>
    <x v="0"/>
    <x v="0"/>
    <n v="52"/>
    <x v="0"/>
    <x v="0"/>
  </r>
  <r>
    <n v="20171"/>
    <x v="0"/>
    <x v="0"/>
    <n v="20000"/>
    <n v="2"/>
    <x v="1"/>
    <s v="Manual"/>
    <x v="0"/>
    <n v="1"/>
    <x v="0"/>
    <x v="0"/>
    <n v="46"/>
    <x v="0"/>
    <x v="1"/>
  </r>
  <r>
    <n v="11116"/>
    <x v="0"/>
    <x v="1"/>
    <n v="70000"/>
    <n v="5"/>
    <x v="1"/>
    <s v="Skilled Manual"/>
    <x v="0"/>
    <n v="2"/>
    <x v="2"/>
    <x v="1"/>
    <n v="43"/>
    <x v="0"/>
    <x v="0"/>
  </r>
  <r>
    <n v="20053"/>
    <x v="1"/>
    <x v="1"/>
    <n v="40000"/>
    <n v="2"/>
    <x v="1"/>
    <s v="Clerical"/>
    <x v="0"/>
    <n v="0"/>
    <x v="0"/>
    <x v="0"/>
    <n v="34"/>
    <x v="0"/>
    <x v="0"/>
  </r>
  <r>
    <n v="25266"/>
    <x v="1"/>
    <x v="0"/>
    <n v="30000"/>
    <n v="2"/>
    <x v="1"/>
    <s v="Clerical"/>
    <x v="1"/>
    <n v="2"/>
    <x v="2"/>
    <x v="1"/>
    <n v="67"/>
    <x v="1"/>
    <x v="0"/>
  </r>
  <r>
    <n v="17960"/>
    <x v="0"/>
    <x v="0"/>
    <n v="40000"/>
    <n v="0"/>
    <x v="4"/>
    <s v="Clerical"/>
    <x v="0"/>
    <n v="0"/>
    <x v="0"/>
    <x v="0"/>
    <n v="35"/>
    <x v="0"/>
    <x v="1"/>
  </r>
  <r>
    <n v="13961"/>
    <x v="0"/>
    <x v="0"/>
    <n v="80000"/>
    <n v="5"/>
    <x v="4"/>
    <s v="Management"/>
    <x v="0"/>
    <n v="3"/>
    <x v="0"/>
    <x v="1"/>
    <n v="40"/>
    <x v="0"/>
    <x v="0"/>
  </r>
  <r>
    <n v="11897"/>
    <x v="1"/>
    <x v="1"/>
    <n v="60000"/>
    <n v="2"/>
    <x v="0"/>
    <s v="Professional"/>
    <x v="1"/>
    <n v="1"/>
    <x v="0"/>
    <x v="1"/>
    <n v="37"/>
    <x v="0"/>
    <x v="1"/>
  </r>
  <r>
    <n v="11139"/>
    <x v="1"/>
    <x v="0"/>
    <n v="30000"/>
    <n v="2"/>
    <x v="1"/>
    <s v="Clerical"/>
    <x v="1"/>
    <n v="2"/>
    <x v="2"/>
    <x v="1"/>
    <n v="67"/>
    <x v="1"/>
    <x v="0"/>
  </r>
  <r>
    <n v="11576"/>
    <x v="0"/>
    <x v="1"/>
    <n v="30000"/>
    <n v="1"/>
    <x v="0"/>
    <s v="Skilled Manual"/>
    <x v="0"/>
    <n v="2"/>
    <x v="0"/>
    <x v="0"/>
    <n v="41"/>
    <x v="0"/>
    <x v="1"/>
  </r>
  <r>
    <n v="19255"/>
    <x v="1"/>
    <x v="1"/>
    <n v="10000"/>
    <n v="2"/>
    <x v="1"/>
    <s v="Manual"/>
    <x v="0"/>
    <n v="1"/>
    <x v="0"/>
    <x v="0"/>
    <n v="51"/>
    <x v="0"/>
    <x v="1"/>
  </r>
  <r>
    <n v="18153"/>
    <x v="0"/>
    <x v="0"/>
    <n v="100000"/>
    <n v="2"/>
    <x v="0"/>
    <s v="Management"/>
    <x v="0"/>
    <n v="4"/>
    <x v="4"/>
    <x v="0"/>
    <n v="59"/>
    <x v="1"/>
    <x v="0"/>
  </r>
  <r>
    <n v="14547"/>
    <x v="0"/>
    <x v="1"/>
    <n v="10000"/>
    <n v="2"/>
    <x v="1"/>
    <s v="Manual"/>
    <x v="0"/>
    <n v="0"/>
    <x v="3"/>
    <x v="0"/>
    <n v="51"/>
    <x v="0"/>
    <x v="0"/>
  </r>
  <r>
    <n v="24901"/>
    <x v="1"/>
    <x v="1"/>
    <n v="110000"/>
    <n v="0"/>
    <x v="1"/>
    <s v="Management"/>
    <x v="1"/>
    <n v="3"/>
    <x v="4"/>
    <x v="1"/>
    <n v="32"/>
    <x v="0"/>
    <x v="1"/>
  </r>
  <r>
    <n v="27169"/>
    <x v="1"/>
    <x v="1"/>
    <n v="30000"/>
    <n v="0"/>
    <x v="2"/>
    <s v="Manual"/>
    <x v="0"/>
    <n v="1"/>
    <x v="1"/>
    <x v="0"/>
    <n v="34"/>
    <x v="0"/>
    <x v="1"/>
  </r>
  <r>
    <n v="14805"/>
    <x v="1"/>
    <x v="0"/>
    <n v="10000"/>
    <n v="3"/>
    <x v="3"/>
    <s v="Manual"/>
    <x v="0"/>
    <n v="2"/>
    <x v="0"/>
    <x v="0"/>
    <n v="43"/>
    <x v="0"/>
    <x v="0"/>
  </r>
  <r>
    <n v="15822"/>
    <x v="0"/>
    <x v="1"/>
    <n v="40000"/>
    <n v="2"/>
    <x v="0"/>
    <s v="Management"/>
    <x v="0"/>
    <n v="2"/>
    <x v="0"/>
    <x v="1"/>
    <n v="67"/>
    <x v="1"/>
    <x v="0"/>
  </r>
  <r>
    <n v="19389"/>
    <x v="1"/>
    <x v="1"/>
    <n v="30000"/>
    <n v="0"/>
    <x v="1"/>
    <s v="Clerical"/>
    <x v="1"/>
    <n v="1"/>
    <x v="1"/>
    <x v="0"/>
    <n v="28"/>
    <x v="2"/>
    <x v="0"/>
  </r>
  <r>
    <n v="17048"/>
    <x v="1"/>
    <x v="0"/>
    <n v="90000"/>
    <n v="1"/>
    <x v="4"/>
    <s v="Management"/>
    <x v="0"/>
    <n v="0"/>
    <x v="0"/>
    <x v="1"/>
    <n v="36"/>
    <x v="0"/>
    <x v="1"/>
  </r>
  <r>
    <n v="22204"/>
    <x v="0"/>
    <x v="1"/>
    <n v="110000"/>
    <n v="4"/>
    <x v="0"/>
    <s v="Management"/>
    <x v="0"/>
    <n v="3"/>
    <x v="1"/>
    <x v="1"/>
    <n v="48"/>
    <x v="0"/>
    <x v="0"/>
  </r>
  <r>
    <n v="12718"/>
    <x v="1"/>
    <x v="0"/>
    <n v="30000"/>
    <n v="0"/>
    <x v="1"/>
    <s v="Clerical"/>
    <x v="0"/>
    <n v="1"/>
    <x v="1"/>
    <x v="0"/>
    <n v="31"/>
    <x v="0"/>
    <x v="0"/>
  </r>
  <r>
    <n v="15019"/>
    <x v="1"/>
    <x v="0"/>
    <n v="30000"/>
    <n v="3"/>
    <x v="2"/>
    <s v="Skilled Manual"/>
    <x v="0"/>
    <n v="2"/>
    <x v="2"/>
    <x v="1"/>
    <n v="55"/>
    <x v="1"/>
    <x v="0"/>
  </r>
  <r>
    <n v="28488"/>
    <x v="1"/>
    <x v="1"/>
    <n v="20000"/>
    <n v="0"/>
    <x v="1"/>
    <s v="Manual"/>
    <x v="0"/>
    <n v="0"/>
    <x v="0"/>
    <x v="1"/>
    <n v="28"/>
    <x v="2"/>
    <x v="1"/>
  </r>
  <r>
    <n v="21891"/>
    <x v="0"/>
    <x v="0"/>
    <n v="110000"/>
    <n v="0"/>
    <x v="2"/>
    <s v="Management"/>
    <x v="0"/>
    <n v="3"/>
    <x v="4"/>
    <x v="1"/>
    <n v="34"/>
    <x v="0"/>
    <x v="1"/>
  </r>
  <r>
    <n v="27814"/>
    <x v="1"/>
    <x v="0"/>
    <n v="30000"/>
    <n v="3"/>
    <x v="1"/>
    <s v="Clerical"/>
    <x v="1"/>
    <n v="1"/>
    <x v="0"/>
    <x v="0"/>
    <n v="26"/>
    <x v="2"/>
    <x v="0"/>
  </r>
  <r>
    <n v="22175"/>
    <x v="0"/>
    <x v="0"/>
    <n v="30000"/>
    <n v="3"/>
    <x v="2"/>
    <s v="Skilled Manual"/>
    <x v="0"/>
    <n v="2"/>
    <x v="2"/>
    <x v="1"/>
    <n v="53"/>
    <x v="0"/>
    <x v="1"/>
  </r>
  <r>
    <n v="29447"/>
    <x v="1"/>
    <x v="0"/>
    <n v="10000"/>
    <n v="2"/>
    <x v="0"/>
    <s v="Clerical"/>
    <x v="1"/>
    <n v="1"/>
    <x v="1"/>
    <x v="0"/>
    <n v="68"/>
    <x v="1"/>
    <x v="0"/>
  </r>
  <r>
    <n v="19784"/>
    <x v="0"/>
    <x v="0"/>
    <n v="80000"/>
    <n v="2"/>
    <x v="2"/>
    <s v="Skilled Manual"/>
    <x v="0"/>
    <n v="2"/>
    <x v="2"/>
    <x v="1"/>
    <n v="50"/>
    <x v="0"/>
    <x v="1"/>
  </r>
  <r>
    <n v="27824"/>
    <x v="1"/>
    <x v="0"/>
    <n v="30000"/>
    <n v="3"/>
    <x v="1"/>
    <s v="Clerical"/>
    <x v="0"/>
    <n v="2"/>
    <x v="0"/>
    <x v="0"/>
    <n v="28"/>
    <x v="2"/>
    <x v="1"/>
  </r>
  <r>
    <n v="24093"/>
    <x v="1"/>
    <x v="0"/>
    <n v="80000"/>
    <n v="0"/>
    <x v="4"/>
    <s v="Skilled Manual"/>
    <x v="1"/>
    <n v="0"/>
    <x v="0"/>
    <x v="0"/>
    <n v="40"/>
    <x v="0"/>
    <x v="1"/>
  </r>
  <r>
    <n v="19618"/>
    <x v="0"/>
    <x v="1"/>
    <n v="70000"/>
    <n v="5"/>
    <x v="1"/>
    <s v="Skilled Manual"/>
    <x v="0"/>
    <n v="2"/>
    <x v="0"/>
    <x v="1"/>
    <n v="44"/>
    <x v="0"/>
    <x v="0"/>
  </r>
  <r>
    <n v="21561"/>
    <x v="1"/>
    <x v="1"/>
    <n v="90000"/>
    <n v="0"/>
    <x v="0"/>
    <s v="Professional"/>
    <x v="1"/>
    <n v="3"/>
    <x v="4"/>
    <x v="1"/>
    <n v="34"/>
    <x v="0"/>
    <x v="1"/>
  </r>
  <r>
    <n v="11061"/>
    <x v="0"/>
    <x v="1"/>
    <n v="70000"/>
    <n v="2"/>
    <x v="1"/>
    <s v="Skilled Manual"/>
    <x v="0"/>
    <n v="2"/>
    <x v="2"/>
    <x v="1"/>
    <n v="52"/>
    <x v="0"/>
    <x v="1"/>
  </r>
  <r>
    <n v="26651"/>
    <x v="1"/>
    <x v="1"/>
    <n v="80000"/>
    <n v="4"/>
    <x v="4"/>
    <s v="Management"/>
    <x v="0"/>
    <n v="0"/>
    <x v="0"/>
    <x v="1"/>
    <n v="36"/>
    <x v="0"/>
    <x v="1"/>
  </r>
  <r>
    <n v="21108"/>
    <x v="0"/>
    <x v="0"/>
    <n v="40000"/>
    <n v="1"/>
    <x v="0"/>
    <s v="Skilled Manual"/>
    <x v="0"/>
    <n v="1"/>
    <x v="0"/>
    <x v="0"/>
    <n v="43"/>
    <x v="0"/>
    <x v="1"/>
  </r>
  <r>
    <n v="12731"/>
    <x v="1"/>
    <x v="1"/>
    <n v="30000"/>
    <n v="0"/>
    <x v="2"/>
    <s v="Manual"/>
    <x v="1"/>
    <n v="1"/>
    <x v="3"/>
    <x v="0"/>
    <n v="32"/>
    <x v="0"/>
    <x v="0"/>
  </r>
  <r>
    <n v="25307"/>
    <x v="0"/>
    <x v="0"/>
    <n v="40000"/>
    <n v="1"/>
    <x v="0"/>
    <s v="Skilled Manual"/>
    <x v="0"/>
    <n v="1"/>
    <x v="3"/>
    <x v="0"/>
    <n v="32"/>
    <x v="0"/>
    <x v="1"/>
  </r>
  <r>
    <n v="14278"/>
    <x v="0"/>
    <x v="0"/>
    <n v="130000"/>
    <n v="0"/>
    <x v="4"/>
    <s v="Management"/>
    <x v="0"/>
    <n v="1"/>
    <x v="4"/>
    <x v="1"/>
    <n v="48"/>
    <x v="0"/>
    <x v="0"/>
  </r>
  <r>
    <n v="20711"/>
    <x v="0"/>
    <x v="0"/>
    <n v="40000"/>
    <n v="1"/>
    <x v="0"/>
    <s v="Skilled Manual"/>
    <x v="0"/>
    <n v="0"/>
    <x v="3"/>
    <x v="0"/>
    <n v="32"/>
    <x v="0"/>
    <x v="1"/>
  </r>
  <r>
    <n v="11383"/>
    <x v="0"/>
    <x v="0"/>
    <n v="30000"/>
    <n v="3"/>
    <x v="4"/>
    <s v="Clerical"/>
    <x v="0"/>
    <n v="0"/>
    <x v="0"/>
    <x v="0"/>
    <n v="46"/>
    <x v="0"/>
    <x v="0"/>
  </r>
  <r>
    <n v="12497"/>
    <x v="0"/>
    <x v="0"/>
    <n v="40000"/>
    <n v="1"/>
    <x v="0"/>
    <s v="Skilled Manual"/>
    <x v="0"/>
    <n v="0"/>
    <x v="0"/>
    <x v="0"/>
    <n v="42"/>
    <x v="0"/>
    <x v="0"/>
  </r>
  <r>
    <n v="16559"/>
    <x v="1"/>
    <x v="0"/>
    <n v="10000"/>
    <n v="2"/>
    <x v="2"/>
    <s v="Manual"/>
    <x v="0"/>
    <n v="0"/>
    <x v="0"/>
    <x v="0"/>
    <n v="36"/>
    <x v="0"/>
    <x v="1"/>
  </r>
  <r>
    <n v="11585"/>
    <x v="0"/>
    <x v="0"/>
    <n v="40000"/>
    <n v="1"/>
    <x v="0"/>
    <s v="Skilled Manual"/>
    <x v="0"/>
    <n v="0"/>
    <x v="0"/>
    <x v="0"/>
    <n v="41"/>
    <x v="0"/>
    <x v="0"/>
  </r>
  <r>
    <n v="20277"/>
    <x v="0"/>
    <x v="0"/>
    <n v="30000"/>
    <n v="2"/>
    <x v="1"/>
    <s v="Clerical"/>
    <x v="1"/>
    <n v="2"/>
    <x v="0"/>
    <x v="1"/>
    <n v="69"/>
    <x v="1"/>
    <x v="0"/>
  </r>
  <r>
    <n v="26765"/>
    <x v="1"/>
    <x v="0"/>
    <n v="70000"/>
    <n v="5"/>
    <x v="1"/>
    <s v="Skilled Manual"/>
    <x v="0"/>
    <n v="2"/>
    <x v="2"/>
    <x v="1"/>
    <n v="45"/>
    <x v="0"/>
    <x v="0"/>
  </r>
  <r>
    <n v="12389"/>
    <x v="1"/>
    <x v="1"/>
    <n v="30000"/>
    <n v="0"/>
    <x v="2"/>
    <s v="Manual"/>
    <x v="1"/>
    <n v="1"/>
    <x v="1"/>
    <x v="0"/>
    <n v="34"/>
    <x v="0"/>
    <x v="0"/>
  </r>
  <r>
    <n v="13585"/>
    <x v="0"/>
    <x v="0"/>
    <n v="80000"/>
    <n v="4"/>
    <x v="1"/>
    <s v="Professional"/>
    <x v="1"/>
    <n v="1"/>
    <x v="1"/>
    <x v="0"/>
    <n v="53"/>
    <x v="0"/>
    <x v="1"/>
  </r>
  <r>
    <n v="26385"/>
    <x v="1"/>
    <x v="1"/>
    <n v="120000"/>
    <n v="3"/>
    <x v="2"/>
    <s v="Professional"/>
    <x v="1"/>
    <n v="4"/>
    <x v="2"/>
    <x v="0"/>
    <n v="50"/>
    <x v="0"/>
    <x v="0"/>
  </r>
  <r>
    <n v="12236"/>
    <x v="0"/>
    <x v="0"/>
    <n v="20000"/>
    <n v="1"/>
    <x v="1"/>
    <s v="Manual"/>
    <x v="0"/>
    <n v="0"/>
    <x v="0"/>
    <x v="0"/>
    <n v="65"/>
    <x v="1"/>
    <x v="0"/>
  </r>
  <r>
    <n v="21560"/>
    <x v="0"/>
    <x v="1"/>
    <n v="120000"/>
    <n v="0"/>
    <x v="3"/>
    <s v="Professional"/>
    <x v="0"/>
    <n v="4"/>
    <x v="4"/>
    <x v="1"/>
    <n v="32"/>
    <x v="0"/>
    <x v="1"/>
  </r>
  <r>
    <n v="21554"/>
    <x v="1"/>
    <x v="0"/>
    <n v="80000"/>
    <n v="0"/>
    <x v="0"/>
    <s v="Professional"/>
    <x v="1"/>
    <n v="3"/>
    <x v="4"/>
    <x v="1"/>
    <n v="33"/>
    <x v="0"/>
    <x v="0"/>
  </r>
  <r>
    <n v="13662"/>
    <x v="1"/>
    <x v="1"/>
    <n v="20000"/>
    <n v="0"/>
    <x v="3"/>
    <s v="Manual"/>
    <x v="0"/>
    <n v="2"/>
    <x v="3"/>
    <x v="0"/>
    <n v="31"/>
    <x v="0"/>
    <x v="1"/>
  </r>
  <r>
    <n v="13089"/>
    <x v="0"/>
    <x v="0"/>
    <n v="120000"/>
    <n v="1"/>
    <x v="0"/>
    <s v="Management"/>
    <x v="0"/>
    <n v="2"/>
    <x v="0"/>
    <x v="1"/>
    <n v="46"/>
    <x v="0"/>
    <x v="1"/>
  </r>
  <r>
    <n v="14791"/>
    <x v="0"/>
    <x v="0"/>
    <n v="40000"/>
    <n v="0"/>
    <x v="0"/>
    <s v="Clerical"/>
    <x v="0"/>
    <n v="0"/>
    <x v="0"/>
    <x v="0"/>
    <n v="39"/>
    <x v="0"/>
    <x v="1"/>
  </r>
  <r>
    <n v="19331"/>
    <x v="1"/>
    <x v="1"/>
    <n v="20000"/>
    <n v="2"/>
    <x v="2"/>
    <s v="Manual"/>
    <x v="0"/>
    <n v="1"/>
    <x v="0"/>
    <x v="0"/>
    <n v="40"/>
    <x v="0"/>
    <x v="0"/>
  </r>
  <r>
    <n v="17754"/>
    <x v="1"/>
    <x v="0"/>
    <n v="30000"/>
    <n v="3"/>
    <x v="0"/>
    <s v="Clerical"/>
    <x v="0"/>
    <n v="0"/>
    <x v="0"/>
    <x v="0"/>
    <n v="46"/>
    <x v="0"/>
    <x v="1"/>
  </r>
  <r>
    <n v="11149"/>
    <x v="0"/>
    <x v="1"/>
    <n v="40000"/>
    <n v="2"/>
    <x v="0"/>
    <s v="Management"/>
    <x v="0"/>
    <n v="2"/>
    <x v="0"/>
    <x v="1"/>
    <n v="65"/>
    <x v="1"/>
    <x v="0"/>
  </r>
  <r>
    <n v="16549"/>
    <x v="1"/>
    <x v="0"/>
    <n v="30000"/>
    <n v="3"/>
    <x v="0"/>
    <s v="Clerical"/>
    <x v="0"/>
    <n v="0"/>
    <x v="0"/>
    <x v="0"/>
    <n v="47"/>
    <x v="0"/>
    <x v="1"/>
  </r>
  <r>
    <n v="24305"/>
    <x v="1"/>
    <x v="1"/>
    <n v="100000"/>
    <n v="1"/>
    <x v="0"/>
    <s v="Management"/>
    <x v="1"/>
    <n v="3"/>
    <x v="0"/>
    <x v="1"/>
    <n v="46"/>
    <x v="0"/>
    <x v="1"/>
  </r>
  <r>
    <n v="18253"/>
    <x v="0"/>
    <x v="0"/>
    <n v="80000"/>
    <n v="5"/>
    <x v="4"/>
    <s v="Management"/>
    <x v="0"/>
    <n v="3"/>
    <x v="0"/>
    <x v="1"/>
    <n v="40"/>
    <x v="0"/>
    <x v="0"/>
  </r>
  <r>
    <n v="20147"/>
    <x v="0"/>
    <x v="0"/>
    <n v="30000"/>
    <n v="1"/>
    <x v="0"/>
    <s v="Clerical"/>
    <x v="0"/>
    <n v="0"/>
    <x v="0"/>
    <x v="0"/>
    <n v="65"/>
    <x v="1"/>
    <x v="0"/>
  </r>
  <r>
    <n v="15612"/>
    <x v="1"/>
    <x v="1"/>
    <n v="30000"/>
    <n v="0"/>
    <x v="2"/>
    <s v="Manual"/>
    <x v="1"/>
    <n v="1"/>
    <x v="3"/>
    <x v="0"/>
    <n v="28"/>
    <x v="2"/>
    <x v="0"/>
  </r>
  <r>
    <n v="28323"/>
    <x v="1"/>
    <x v="1"/>
    <n v="70000"/>
    <n v="0"/>
    <x v="0"/>
    <s v="Professional"/>
    <x v="1"/>
    <n v="2"/>
    <x v="2"/>
    <x v="1"/>
    <n v="43"/>
    <x v="0"/>
    <x v="1"/>
  </r>
  <r>
    <n v="22634"/>
    <x v="1"/>
    <x v="0"/>
    <n v="40000"/>
    <n v="0"/>
    <x v="4"/>
    <s v="Clerical"/>
    <x v="0"/>
    <n v="0"/>
    <x v="0"/>
    <x v="0"/>
    <n v="38"/>
    <x v="0"/>
    <x v="1"/>
  </r>
  <r>
    <n v="15665"/>
    <x v="0"/>
    <x v="0"/>
    <n v="30000"/>
    <n v="0"/>
    <x v="0"/>
    <s v="Clerical"/>
    <x v="0"/>
    <n v="0"/>
    <x v="0"/>
    <x v="0"/>
    <n v="47"/>
    <x v="0"/>
    <x v="1"/>
  </r>
  <r>
    <n v="27585"/>
    <x v="0"/>
    <x v="0"/>
    <n v="90000"/>
    <n v="2"/>
    <x v="0"/>
    <s v="Professional"/>
    <x v="1"/>
    <n v="0"/>
    <x v="0"/>
    <x v="1"/>
    <n v="36"/>
    <x v="0"/>
    <x v="1"/>
  </r>
  <r>
    <n v="19748"/>
    <x v="0"/>
    <x v="1"/>
    <n v="20000"/>
    <n v="4"/>
    <x v="2"/>
    <s v="Skilled Manual"/>
    <x v="1"/>
    <n v="2"/>
    <x v="3"/>
    <x v="1"/>
    <n v="60"/>
    <x v="1"/>
    <x v="0"/>
  </r>
  <r>
    <n v="21974"/>
    <x v="1"/>
    <x v="0"/>
    <n v="70000"/>
    <n v="0"/>
    <x v="0"/>
    <s v="Professional"/>
    <x v="0"/>
    <n v="1"/>
    <x v="2"/>
    <x v="1"/>
    <n v="42"/>
    <x v="0"/>
    <x v="1"/>
  </r>
  <r>
    <n v="14032"/>
    <x v="0"/>
    <x v="1"/>
    <n v="70000"/>
    <n v="2"/>
    <x v="2"/>
    <s v="Skilled Manual"/>
    <x v="1"/>
    <n v="2"/>
    <x v="3"/>
    <x v="1"/>
    <n v="50"/>
    <x v="0"/>
    <x v="1"/>
  </r>
  <r>
    <n v="22610"/>
    <x v="0"/>
    <x v="1"/>
    <n v="30000"/>
    <n v="0"/>
    <x v="0"/>
    <s v="Clerical"/>
    <x v="0"/>
    <n v="0"/>
    <x v="0"/>
    <x v="0"/>
    <n v="35"/>
    <x v="0"/>
    <x v="1"/>
  </r>
  <r>
    <n v="26984"/>
    <x v="0"/>
    <x v="1"/>
    <n v="40000"/>
    <n v="1"/>
    <x v="0"/>
    <s v="Skilled Manual"/>
    <x v="0"/>
    <n v="1"/>
    <x v="0"/>
    <x v="0"/>
    <n v="32"/>
    <x v="0"/>
    <x v="1"/>
  </r>
  <r>
    <n v="18294"/>
    <x v="0"/>
    <x v="0"/>
    <n v="90000"/>
    <n v="1"/>
    <x v="0"/>
    <s v="Professional"/>
    <x v="0"/>
    <n v="1"/>
    <x v="2"/>
    <x v="1"/>
    <n v="46"/>
    <x v="0"/>
    <x v="0"/>
  </r>
  <r>
    <n v="28564"/>
    <x v="1"/>
    <x v="0"/>
    <n v="40000"/>
    <n v="2"/>
    <x v="1"/>
    <s v="Clerical"/>
    <x v="0"/>
    <n v="0"/>
    <x v="3"/>
    <x v="0"/>
    <n v="33"/>
    <x v="0"/>
    <x v="1"/>
  </r>
  <r>
    <n v="28521"/>
    <x v="1"/>
    <x v="1"/>
    <n v="40000"/>
    <n v="0"/>
    <x v="4"/>
    <s v="Clerical"/>
    <x v="1"/>
    <n v="0"/>
    <x v="0"/>
    <x v="0"/>
    <n v="36"/>
    <x v="0"/>
    <x v="1"/>
  </r>
  <r>
    <n v="15450"/>
    <x v="0"/>
    <x v="1"/>
    <n v="10000"/>
    <n v="1"/>
    <x v="4"/>
    <s v="Clerical"/>
    <x v="0"/>
    <n v="0"/>
    <x v="0"/>
    <x v="0"/>
    <n v="70"/>
    <x v="1"/>
    <x v="0"/>
  </r>
  <r>
    <n v="25681"/>
    <x v="1"/>
    <x v="0"/>
    <n v="30000"/>
    <n v="0"/>
    <x v="1"/>
    <s v="Clerical"/>
    <x v="1"/>
    <n v="1"/>
    <x v="1"/>
    <x v="0"/>
    <n v="31"/>
    <x v="0"/>
    <x v="1"/>
  </r>
  <r>
    <n v="19491"/>
    <x v="1"/>
    <x v="1"/>
    <n v="30000"/>
    <n v="2"/>
    <x v="1"/>
    <s v="Clerical"/>
    <x v="0"/>
    <n v="2"/>
    <x v="0"/>
    <x v="0"/>
    <n v="42"/>
    <x v="0"/>
    <x v="0"/>
  </r>
  <r>
    <n v="26415"/>
    <x v="0"/>
    <x v="0"/>
    <n v="90000"/>
    <n v="4"/>
    <x v="3"/>
    <s v="Skilled Manual"/>
    <x v="0"/>
    <n v="4"/>
    <x v="4"/>
    <x v="0"/>
    <n v="58"/>
    <x v="1"/>
    <x v="0"/>
  </r>
  <r>
    <n v="12821"/>
    <x v="0"/>
    <x v="1"/>
    <n v="40000"/>
    <n v="0"/>
    <x v="0"/>
    <s v="Clerical"/>
    <x v="0"/>
    <n v="0"/>
    <x v="0"/>
    <x v="0"/>
    <n v="39"/>
    <x v="0"/>
    <x v="0"/>
  </r>
  <r>
    <n v="15629"/>
    <x v="1"/>
    <x v="0"/>
    <n v="10000"/>
    <n v="0"/>
    <x v="3"/>
    <s v="Manual"/>
    <x v="0"/>
    <n v="2"/>
    <x v="3"/>
    <x v="0"/>
    <n v="34"/>
    <x v="0"/>
    <x v="0"/>
  </r>
  <r>
    <n v="27835"/>
    <x v="0"/>
    <x v="1"/>
    <n v="20000"/>
    <n v="0"/>
    <x v="3"/>
    <s v="Manual"/>
    <x v="0"/>
    <n v="2"/>
    <x v="0"/>
    <x v="0"/>
    <n v="32"/>
    <x v="0"/>
    <x v="0"/>
  </r>
  <r>
    <n v="11738"/>
    <x v="0"/>
    <x v="1"/>
    <n v="60000"/>
    <n v="4"/>
    <x v="0"/>
    <s v="Professional"/>
    <x v="0"/>
    <n v="0"/>
    <x v="1"/>
    <x v="2"/>
    <n v="46"/>
    <x v="0"/>
    <x v="0"/>
  </r>
  <r>
    <n v="25065"/>
    <x v="0"/>
    <x v="1"/>
    <n v="70000"/>
    <n v="2"/>
    <x v="3"/>
    <s v="Skilled Manual"/>
    <x v="0"/>
    <n v="2"/>
    <x v="2"/>
    <x v="2"/>
    <n v="48"/>
    <x v="0"/>
    <x v="0"/>
  </r>
  <r>
    <n v="26238"/>
    <x v="1"/>
    <x v="0"/>
    <n v="40000"/>
    <n v="3"/>
    <x v="1"/>
    <s v="Clerical"/>
    <x v="0"/>
    <n v="1"/>
    <x v="3"/>
    <x v="2"/>
    <n v="31"/>
    <x v="0"/>
    <x v="1"/>
  </r>
  <r>
    <n v="23707"/>
    <x v="1"/>
    <x v="1"/>
    <n v="70000"/>
    <n v="5"/>
    <x v="0"/>
    <s v="Management"/>
    <x v="0"/>
    <n v="3"/>
    <x v="4"/>
    <x v="2"/>
    <n v="60"/>
    <x v="1"/>
    <x v="1"/>
  </r>
  <r>
    <n v="27650"/>
    <x v="0"/>
    <x v="1"/>
    <n v="70000"/>
    <n v="4"/>
    <x v="2"/>
    <s v="Professional"/>
    <x v="0"/>
    <n v="0"/>
    <x v="2"/>
    <x v="2"/>
    <n v="51"/>
    <x v="0"/>
    <x v="0"/>
  </r>
  <r>
    <n v="24981"/>
    <x v="0"/>
    <x v="1"/>
    <n v="60000"/>
    <n v="2"/>
    <x v="1"/>
    <s v="Professional"/>
    <x v="0"/>
    <n v="2"/>
    <x v="4"/>
    <x v="2"/>
    <n v="56"/>
    <x v="1"/>
    <x v="0"/>
  </r>
  <r>
    <n v="20678"/>
    <x v="1"/>
    <x v="0"/>
    <n v="60000"/>
    <n v="3"/>
    <x v="0"/>
    <s v="Skilled Manual"/>
    <x v="0"/>
    <n v="1"/>
    <x v="1"/>
    <x v="2"/>
    <n v="40"/>
    <x v="0"/>
    <x v="1"/>
  </r>
  <r>
    <n v="15302"/>
    <x v="1"/>
    <x v="0"/>
    <n v="70000"/>
    <n v="1"/>
    <x v="4"/>
    <s v="Professional"/>
    <x v="0"/>
    <n v="0"/>
    <x v="1"/>
    <x v="2"/>
    <n v="34"/>
    <x v="0"/>
    <x v="1"/>
  </r>
  <r>
    <n v="26012"/>
    <x v="0"/>
    <x v="1"/>
    <n v="80000"/>
    <n v="1"/>
    <x v="1"/>
    <s v="Skilled Manual"/>
    <x v="0"/>
    <n v="1"/>
    <x v="1"/>
    <x v="2"/>
    <n v="48"/>
    <x v="0"/>
    <x v="1"/>
  </r>
  <r>
    <n v="26575"/>
    <x v="1"/>
    <x v="0"/>
    <n v="40000"/>
    <n v="0"/>
    <x v="2"/>
    <s v="Skilled Manual"/>
    <x v="1"/>
    <n v="2"/>
    <x v="3"/>
    <x v="2"/>
    <n v="31"/>
    <x v="0"/>
    <x v="1"/>
  </r>
  <r>
    <n v="15559"/>
    <x v="0"/>
    <x v="1"/>
    <n v="60000"/>
    <n v="5"/>
    <x v="0"/>
    <s v="Professional"/>
    <x v="0"/>
    <n v="1"/>
    <x v="1"/>
    <x v="2"/>
    <n v="47"/>
    <x v="0"/>
    <x v="0"/>
  </r>
  <r>
    <n v="19235"/>
    <x v="0"/>
    <x v="0"/>
    <n v="50000"/>
    <n v="0"/>
    <x v="4"/>
    <s v="Skilled Manual"/>
    <x v="0"/>
    <n v="0"/>
    <x v="0"/>
    <x v="2"/>
    <n v="34"/>
    <x v="0"/>
    <x v="0"/>
  </r>
  <r>
    <n v="15275"/>
    <x v="0"/>
    <x v="1"/>
    <n v="40000"/>
    <n v="0"/>
    <x v="1"/>
    <s v="Skilled Manual"/>
    <x v="0"/>
    <n v="1"/>
    <x v="2"/>
    <x v="2"/>
    <n v="29"/>
    <x v="2"/>
    <x v="0"/>
  </r>
  <r>
    <n v="20339"/>
    <x v="0"/>
    <x v="0"/>
    <n v="130000"/>
    <n v="1"/>
    <x v="0"/>
    <s v="Management"/>
    <x v="0"/>
    <n v="4"/>
    <x v="1"/>
    <x v="2"/>
    <n v="44"/>
    <x v="0"/>
    <x v="1"/>
  </r>
  <r>
    <n v="25405"/>
    <x v="0"/>
    <x v="1"/>
    <n v="70000"/>
    <n v="2"/>
    <x v="0"/>
    <s v="Skilled Manual"/>
    <x v="0"/>
    <n v="1"/>
    <x v="1"/>
    <x v="2"/>
    <n v="38"/>
    <x v="0"/>
    <x v="1"/>
  </r>
  <r>
    <n v="15940"/>
    <x v="0"/>
    <x v="1"/>
    <n v="100000"/>
    <n v="4"/>
    <x v="1"/>
    <s v="Professional"/>
    <x v="0"/>
    <n v="4"/>
    <x v="0"/>
    <x v="2"/>
    <n v="40"/>
    <x v="0"/>
    <x v="0"/>
  </r>
  <r>
    <n v="25074"/>
    <x v="0"/>
    <x v="0"/>
    <n v="70000"/>
    <n v="4"/>
    <x v="0"/>
    <s v="Professional"/>
    <x v="0"/>
    <n v="2"/>
    <x v="1"/>
    <x v="2"/>
    <n v="42"/>
    <x v="0"/>
    <x v="1"/>
  </r>
  <r>
    <n v="24738"/>
    <x v="0"/>
    <x v="0"/>
    <n v="40000"/>
    <n v="1"/>
    <x v="1"/>
    <s v="Clerical"/>
    <x v="0"/>
    <n v="1"/>
    <x v="3"/>
    <x v="2"/>
    <n v="51"/>
    <x v="0"/>
    <x v="1"/>
  </r>
  <r>
    <n v="16337"/>
    <x v="0"/>
    <x v="1"/>
    <n v="60000"/>
    <n v="0"/>
    <x v="1"/>
    <s v="Skilled Manual"/>
    <x v="1"/>
    <n v="2"/>
    <x v="3"/>
    <x v="2"/>
    <n v="29"/>
    <x v="2"/>
    <x v="0"/>
  </r>
  <r>
    <n v="24357"/>
    <x v="0"/>
    <x v="1"/>
    <n v="80000"/>
    <n v="3"/>
    <x v="0"/>
    <s v="Professional"/>
    <x v="0"/>
    <n v="1"/>
    <x v="1"/>
    <x v="2"/>
    <n v="48"/>
    <x v="0"/>
    <x v="1"/>
  </r>
  <r>
    <n v="18613"/>
    <x v="1"/>
    <x v="1"/>
    <n v="70000"/>
    <n v="0"/>
    <x v="0"/>
    <s v="Professional"/>
    <x v="1"/>
    <n v="1"/>
    <x v="1"/>
    <x v="2"/>
    <n v="37"/>
    <x v="0"/>
    <x v="1"/>
  </r>
  <r>
    <n v="12207"/>
    <x v="1"/>
    <x v="1"/>
    <n v="80000"/>
    <n v="4"/>
    <x v="0"/>
    <s v="Management"/>
    <x v="0"/>
    <n v="0"/>
    <x v="2"/>
    <x v="2"/>
    <n v="66"/>
    <x v="1"/>
    <x v="1"/>
  </r>
  <r>
    <n v="18052"/>
    <x v="0"/>
    <x v="0"/>
    <n v="60000"/>
    <n v="1"/>
    <x v="1"/>
    <s v="Skilled Manual"/>
    <x v="0"/>
    <n v="1"/>
    <x v="0"/>
    <x v="2"/>
    <n v="45"/>
    <x v="0"/>
    <x v="1"/>
  </r>
  <r>
    <n v="13353"/>
    <x v="1"/>
    <x v="0"/>
    <n v="60000"/>
    <n v="4"/>
    <x v="4"/>
    <s v="Management"/>
    <x v="0"/>
    <n v="2"/>
    <x v="4"/>
    <x v="2"/>
    <n v="61"/>
    <x v="1"/>
    <x v="1"/>
  </r>
  <r>
    <n v="19399"/>
    <x v="1"/>
    <x v="1"/>
    <n v="40000"/>
    <n v="0"/>
    <x v="0"/>
    <s v="Professional"/>
    <x v="1"/>
    <n v="1"/>
    <x v="1"/>
    <x v="2"/>
    <n v="45"/>
    <x v="0"/>
    <x v="0"/>
  </r>
  <r>
    <n v="16154"/>
    <x v="0"/>
    <x v="0"/>
    <n v="70000"/>
    <n v="5"/>
    <x v="0"/>
    <s v="Professional"/>
    <x v="0"/>
    <n v="2"/>
    <x v="1"/>
    <x v="2"/>
    <n v="47"/>
    <x v="0"/>
    <x v="0"/>
  </r>
  <r>
    <n v="22219"/>
    <x v="0"/>
    <x v="0"/>
    <n v="60000"/>
    <n v="2"/>
    <x v="2"/>
    <s v="Professional"/>
    <x v="0"/>
    <n v="2"/>
    <x v="2"/>
    <x v="2"/>
    <n v="49"/>
    <x v="0"/>
    <x v="0"/>
  </r>
  <r>
    <n v="17269"/>
    <x v="1"/>
    <x v="1"/>
    <n v="60000"/>
    <n v="3"/>
    <x v="0"/>
    <s v="Professional"/>
    <x v="1"/>
    <n v="0"/>
    <x v="0"/>
    <x v="2"/>
    <n v="47"/>
    <x v="0"/>
    <x v="1"/>
  </r>
  <r>
    <n v="23586"/>
    <x v="0"/>
    <x v="0"/>
    <n v="80000"/>
    <n v="0"/>
    <x v="0"/>
    <s v="Management"/>
    <x v="0"/>
    <n v="1"/>
    <x v="3"/>
    <x v="2"/>
    <n v="34"/>
    <x v="0"/>
    <x v="1"/>
  </r>
  <r>
    <n v="15740"/>
    <x v="0"/>
    <x v="1"/>
    <n v="80000"/>
    <n v="5"/>
    <x v="0"/>
    <s v="Management"/>
    <x v="0"/>
    <n v="2"/>
    <x v="3"/>
    <x v="2"/>
    <n v="64"/>
    <x v="1"/>
    <x v="0"/>
  </r>
  <r>
    <n v="27638"/>
    <x v="1"/>
    <x v="1"/>
    <n v="100000"/>
    <n v="1"/>
    <x v="1"/>
    <s v="Professional"/>
    <x v="1"/>
    <n v="3"/>
    <x v="3"/>
    <x v="2"/>
    <n v="44"/>
    <x v="0"/>
    <x v="0"/>
  </r>
  <r>
    <n v="18976"/>
    <x v="1"/>
    <x v="1"/>
    <n v="40000"/>
    <n v="4"/>
    <x v="2"/>
    <s v="Professional"/>
    <x v="0"/>
    <n v="2"/>
    <x v="4"/>
    <x v="2"/>
    <n v="62"/>
    <x v="1"/>
    <x v="1"/>
  </r>
  <r>
    <n v="19413"/>
    <x v="1"/>
    <x v="1"/>
    <n v="60000"/>
    <n v="3"/>
    <x v="0"/>
    <s v="Professional"/>
    <x v="1"/>
    <n v="1"/>
    <x v="0"/>
    <x v="2"/>
    <n v="47"/>
    <x v="0"/>
    <x v="1"/>
  </r>
  <r>
    <n v="13283"/>
    <x v="0"/>
    <x v="1"/>
    <n v="80000"/>
    <n v="3"/>
    <x v="1"/>
    <s v="Professional"/>
    <x v="1"/>
    <n v="2"/>
    <x v="0"/>
    <x v="2"/>
    <n v="49"/>
    <x v="0"/>
    <x v="1"/>
  </r>
  <r>
    <n v="17471"/>
    <x v="1"/>
    <x v="0"/>
    <n v="80000"/>
    <n v="4"/>
    <x v="4"/>
    <s v="Management"/>
    <x v="0"/>
    <n v="2"/>
    <x v="2"/>
    <x v="2"/>
    <n v="67"/>
    <x v="1"/>
    <x v="0"/>
  </r>
  <r>
    <n v="16791"/>
    <x v="1"/>
    <x v="1"/>
    <n v="60000"/>
    <n v="5"/>
    <x v="0"/>
    <s v="Management"/>
    <x v="0"/>
    <n v="3"/>
    <x v="4"/>
    <x v="2"/>
    <n v="59"/>
    <x v="1"/>
    <x v="1"/>
  </r>
  <r>
    <n v="15382"/>
    <x v="0"/>
    <x v="0"/>
    <n v="110000"/>
    <n v="1"/>
    <x v="0"/>
    <s v="Management"/>
    <x v="0"/>
    <n v="2"/>
    <x v="3"/>
    <x v="2"/>
    <n v="44"/>
    <x v="0"/>
    <x v="0"/>
  </r>
  <r>
    <n v="11641"/>
    <x v="0"/>
    <x v="1"/>
    <n v="50000"/>
    <n v="1"/>
    <x v="0"/>
    <s v="Skilled Manual"/>
    <x v="0"/>
    <n v="0"/>
    <x v="0"/>
    <x v="2"/>
    <n v="36"/>
    <x v="0"/>
    <x v="0"/>
  </r>
  <r>
    <n v="11935"/>
    <x v="1"/>
    <x v="0"/>
    <n v="30000"/>
    <n v="0"/>
    <x v="1"/>
    <s v="Skilled Manual"/>
    <x v="0"/>
    <n v="1"/>
    <x v="2"/>
    <x v="2"/>
    <n v="28"/>
    <x v="2"/>
    <x v="0"/>
  </r>
  <r>
    <n v="13233"/>
    <x v="0"/>
    <x v="1"/>
    <n v="60000"/>
    <n v="2"/>
    <x v="1"/>
    <s v="Professional"/>
    <x v="0"/>
    <n v="1"/>
    <x v="4"/>
    <x v="2"/>
    <n v="57"/>
    <x v="1"/>
    <x v="1"/>
  </r>
  <r>
    <n v="25909"/>
    <x v="0"/>
    <x v="1"/>
    <n v="60000"/>
    <n v="0"/>
    <x v="1"/>
    <s v="Skilled Manual"/>
    <x v="0"/>
    <n v="1"/>
    <x v="2"/>
    <x v="2"/>
    <n v="27"/>
    <x v="2"/>
    <x v="1"/>
  </r>
  <r>
    <n v="14092"/>
    <x v="1"/>
    <x v="1"/>
    <n v="30000"/>
    <n v="0"/>
    <x v="3"/>
    <s v="Clerical"/>
    <x v="0"/>
    <n v="2"/>
    <x v="2"/>
    <x v="2"/>
    <n v="28"/>
    <x v="2"/>
    <x v="0"/>
  </r>
  <r>
    <n v="29143"/>
    <x v="1"/>
    <x v="0"/>
    <n v="60000"/>
    <n v="1"/>
    <x v="0"/>
    <s v="Professional"/>
    <x v="1"/>
    <n v="1"/>
    <x v="0"/>
    <x v="2"/>
    <n v="44"/>
    <x v="0"/>
    <x v="1"/>
  </r>
  <r>
    <n v="24941"/>
    <x v="0"/>
    <x v="1"/>
    <n v="60000"/>
    <n v="3"/>
    <x v="0"/>
    <s v="Management"/>
    <x v="0"/>
    <n v="2"/>
    <x v="4"/>
    <x v="2"/>
    <n v="66"/>
    <x v="1"/>
    <x v="0"/>
  </r>
  <r>
    <n v="24637"/>
    <x v="0"/>
    <x v="1"/>
    <n v="40000"/>
    <n v="4"/>
    <x v="2"/>
    <s v="Professional"/>
    <x v="0"/>
    <n v="2"/>
    <x v="4"/>
    <x v="2"/>
    <n v="64"/>
    <x v="1"/>
    <x v="0"/>
  </r>
  <r>
    <n v="23893"/>
    <x v="0"/>
    <x v="1"/>
    <n v="50000"/>
    <n v="3"/>
    <x v="0"/>
    <s v="Skilled Manual"/>
    <x v="0"/>
    <n v="3"/>
    <x v="4"/>
    <x v="2"/>
    <n v="41"/>
    <x v="0"/>
    <x v="0"/>
  </r>
  <r>
    <n v="13907"/>
    <x v="1"/>
    <x v="0"/>
    <n v="80000"/>
    <n v="3"/>
    <x v="0"/>
    <s v="Skilled Manual"/>
    <x v="0"/>
    <n v="1"/>
    <x v="0"/>
    <x v="2"/>
    <n v="41"/>
    <x v="0"/>
    <x v="1"/>
  </r>
  <r>
    <n v="14900"/>
    <x v="0"/>
    <x v="0"/>
    <n v="40000"/>
    <n v="1"/>
    <x v="1"/>
    <s v="Clerical"/>
    <x v="0"/>
    <n v="1"/>
    <x v="3"/>
    <x v="2"/>
    <n v="49"/>
    <x v="0"/>
    <x v="1"/>
  </r>
  <r>
    <n v="11262"/>
    <x v="0"/>
    <x v="0"/>
    <n v="80000"/>
    <n v="4"/>
    <x v="0"/>
    <s v="Management"/>
    <x v="0"/>
    <n v="0"/>
    <x v="0"/>
    <x v="2"/>
    <n v="42"/>
    <x v="0"/>
    <x v="0"/>
  </r>
  <r>
    <n v="22294"/>
    <x v="1"/>
    <x v="0"/>
    <n v="70000"/>
    <n v="0"/>
    <x v="0"/>
    <s v="Professional"/>
    <x v="1"/>
    <n v="1"/>
    <x v="1"/>
    <x v="2"/>
    <n v="37"/>
    <x v="0"/>
    <x v="1"/>
  </r>
  <r>
    <n v="12195"/>
    <x v="1"/>
    <x v="0"/>
    <n v="70000"/>
    <n v="3"/>
    <x v="4"/>
    <s v="Management"/>
    <x v="0"/>
    <n v="2"/>
    <x v="3"/>
    <x v="2"/>
    <n v="52"/>
    <x v="0"/>
    <x v="0"/>
  </r>
  <r>
    <n v="25375"/>
    <x v="0"/>
    <x v="1"/>
    <n v="50000"/>
    <n v="1"/>
    <x v="4"/>
    <s v="Skilled Manual"/>
    <x v="0"/>
    <n v="0"/>
    <x v="3"/>
    <x v="2"/>
    <n v="34"/>
    <x v="0"/>
    <x v="0"/>
  </r>
  <r>
    <n v="11143"/>
    <x v="0"/>
    <x v="1"/>
    <n v="40000"/>
    <n v="0"/>
    <x v="2"/>
    <s v="Skilled Manual"/>
    <x v="0"/>
    <n v="2"/>
    <x v="2"/>
    <x v="2"/>
    <n v="29"/>
    <x v="2"/>
    <x v="0"/>
  </r>
  <r>
    <n v="25898"/>
    <x v="0"/>
    <x v="0"/>
    <n v="70000"/>
    <n v="2"/>
    <x v="2"/>
    <s v="Professional"/>
    <x v="0"/>
    <n v="2"/>
    <x v="1"/>
    <x v="2"/>
    <n v="53"/>
    <x v="0"/>
    <x v="0"/>
  </r>
  <r>
    <n v="24397"/>
    <x v="1"/>
    <x v="1"/>
    <n v="120000"/>
    <n v="2"/>
    <x v="0"/>
    <s v="Management"/>
    <x v="1"/>
    <n v="4"/>
    <x v="3"/>
    <x v="2"/>
    <n v="40"/>
    <x v="0"/>
    <x v="0"/>
  </r>
  <r>
    <n v="19758"/>
    <x v="1"/>
    <x v="1"/>
    <n v="60000"/>
    <n v="0"/>
    <x v="1"/>
    <s v="Skilled Manual"/>
    <x v="1"/>
    <n v="2"/>
    <x v="3"/>
    <x v="2"/>
    <n v="29"/>
    <x v="2"/>
    <x v="0"/>
  </r>
  <r>
    <n v="15529"/>
    <x v="0"/>
    <x v="1"/>
    <n v="60000"/>
    <n v="4"/>
    <x v="0"/>
    <s v="Professional"/>
    <x v="0"/>
    <n v="2"/>
    <x v="1"/>
    <x v="2"/>
    <n v="43"/>
    <x v="0"/>
    <x v="1"/>
  </r>
  <r>
    <n v="19884"/>
    <x v="0"/>
    <x v="1"/>
    <n v="60000"/>
    <n v="2"/>
    <x v="2"/>
    <s v="Professional"/>
    <x v="0"/>
    <n v="2"/>
    <x v="1"/>
    <x v="2"/>
    <n v="55"/>
    <x v="1"/>
    <x v="1"/>
  </r>
  <r>
    <n v="18674"/>
    <x v="1"/>
    <x v="0"/>
    <n v="80000"/>
    <n v="4"/>
    <x v="4"/>
    <s v="Skilled Manual"/>
    <x v="1"/>
    <n v="0"/>
    <x v="0"/>
    <x v="2"/>
    <n v="48"/>
    <x v="0"/>
    <x v="0"/>
  </r>
  <r>
    <n v="13453"/>
    <x v="0"/>
    <x v="0"/>
    <n v="130000"/>
    <n v="3"/>
    <x v="0"/>
    <s v="Management"/>
    <x v="0"/>
    <n v="3"/>
    <x v="0"/>
    <x v="2"/>
    <n v="45"/>
    <x v="0"/>
    <x v="1"/>
  </r>
  <r>
    <n v="14063"/>
    <x v="1"/>
    <x v="0"/>
    <n v="70000"/>
    <n v="0"/>
    <x v="0"/>
    <s v="Professional"/>
    <x v="1"/>
    <n v="1"/>
    <x v="0"/>
    <x v="1"/>
    <n v="42"/>
    <x v="0"/>
    <x v="1"/>
  </r>
  <r>
    <n v="27393"/>
    <x v="0"/>
    <x v="0"/>
    <n v="50000"/>
    <n v="4"/>
    <x v="0"/>
    <s v="Management"/>
    <x v="0"/>
    <n v="2"/>
    <x v="4"/>
    <x v="2"/>
    <n v="63"/>
    <x v="1"/>
    <x v="0"/>
  </r>
  <r>
    <n v="14417"/>
    <x v="1"/>
    <x v="1"/>
    <n v="60000"/>
    <n v="3"/>
    <x v="2"/>
    <s v="Professional"/>
    <x v="0"/>
    <n v="2"/>
    <x v="4"/>
    <x v="2"/>
    <n v="54"/>
    <x v="0"/>
    <x v="1"/>
  </r>
  <r>
    <n v="17533"/>
    <x v="0"/>
    <x v="1"/>
    <n v="40000"/>
    <n v="3"/>
    <x v="1"/>
    <s v="Professional"/>
    <x v="1"/>
    <n v="2"/>
    <x v="2"/>
    <x v="2"/>
    <n v="73"/>
    <x v="1"/>
    <x v="1"/>
  </r>
  <r>
    <n v="18580"/>
    <x v="0"/>
    <x v="0"/>
    <n v="60000"/>
    <n v="2"/>
    <x v="4"/>
    <s v="Professional"/>
    <x v="0"/>
    <n v="0"/>
    <x v="1"/>
    <x v="2"/>
    <n v="40"/>
    <x v="0"/>
    <x v="1"/>
  </r>
  <r>
    <n v="17025"/>
    <x v="1"/>
    <x v="1"/>
    <n v="50000"/>
    <n v="0"/>
    <x v="1"/>
    <s v="Skilled Manual"/>
    <x v="1"/>
    <n v="1"/>
    <x v="1"/>
    <x v="2"/>
    <n v="39"/>
    <x v="0"/>
    <x v="1"/>
  </r>
  <r>
    <n v="25293"/>
    <x v="0"/>
    <x v="1"/>
    <n v="80000"/>
    <n v="4"/>
    <x v="0"/>
    <s v="Management"/>
    <x v="0"/>
    <n v="0"/>
    <x v="3"/>
    <x v="2"/>
    <n v="42"/>
    <x v="0"/>
    <x v="0"/>
  </r>
  <r>
    <n v="24725"/>
    <x v="0"/>
    <x v="0"/>
    <n v="40000"/>
    <n v="3"/>
    <x v="1"/>
    <s v="Clerical"/>
    <x v="0"/>
    <n v="0"/>
    <x v="3"/>
    <x v="2"/>
    <n v="31"/>
    <x v="0"/>
    <x v="0"/>
  </r>
  <r>
    <n v="23200"/>
    <x v="0"/>
    <x v="0"/>
    <n v="50000"/>
    <n v="3"/>
    <x v="0"/>
    <s v="Skilled Manual"/>
    <x v="0"/>
    <n v="2"/>
    <x v="0"/>
    <x v="2"/>
    <n v="41"/>
    <x v="0"/>
    <x v="0"/>
  </r>
  <r>
    <n v="15895"/>
    <x v="1"/>
    <x v="0"/>
    <n v="60000"/>
    <n v="2"/>
    <x v="0"/>
    <s v="Management"/>
    <x v="0"/>
    <n v="0"/>
    <x v="4"/>
    <x v="2"/>
    <n v="58"/>
    <x v="1"/>
    <x v="0"/>
  </r>
  <r>
    <n v="18577"/>
    <x v="0"/>
    <x v="0"/>
    <n v="60000"/>
    <n v="0"/>
    <x v="4"/>
    <s v="Professional"/>
    <x v="0"/>
    <n v="0"/>
    <x v="0"/>
    <x v="2"/>
    <n v="40"/>
    <x v="0"/>
    <x v="0"/>
  </r>
  <r>
    <n v="27218"/>
    <x v="0"/>
    <x v="0"/>
    <n v="20000"/>
    <n v="2"/>
    <x v="3"/>
    <s v="Clerical"/>
    <x v="1"/>
    <n v="0"/>
    <x v="0"/>
    <x v="2"/>
    <n v="48"/>
    <x v="0"/>
    <x v="0"/>
  </r>
  <r>
    <n v="18560"/>
    <x v="0"/>
    <x v="0"/>
    <n v="70000"/>
    <n v="2"/>
    <x v="4"/>
    <s v="Professional"/>
    <x v="0"/>
    <n v="0"/>
    <x v="1"/>
    <x v="2"/>
    <n v="34"/>
    <x v="0"/>
    <x v="1"/>
  </r>
  <r>
    <n v="25006"/>
    <x v="1"/>
    <x v="0"/>
    <n v="30000"/>
    <n v="0"/>
    <x v="1"/>
    <s v="Skilled Manual"/>
    <x v="0"/>
    <n v="1"/>
    <x v="2"/>
    <x v="2"/>
    <n v="28"/>
    <x v="2"/>
    <x v="0"/>
  </r>
  <r>
    <n v="17369"/>
    <x v="1"/>
    <x v="1"/>
    <n v="30000"/>
    <n v="0"/>
    <x v="1"/>
    <s v="Skilled Manual"/>
    <x v="0"/>
    <n v="1"/>
    <x v="2"/>
    <x v="2"/>
    <n v="27"/>
    <x v="2"/>
    <x v="0"/>
  </r>
  <r>
    <n v="14495"/>
    <x v="0"/>
    <x v="1"/>
    <n v="40000"/>
    <n v="3"/>
    <x v="1"/>
    <s v="Professional"/>
    <x v="1"/>
    <n v="2"/>
    <x v="2"/>
    <x v="2"/>
    <n v="54"/>
    <x v="0"/>
    <x v="1"/>
  </r>
  <r>
    <n v="18847"/>
    <x v="0"/>
    <x v="0"/>
    <n v="60000"/>
    <n v="2"/>
    <x v="4"/>
    <s v="Management"/>
    <x v="0"/>
    <n v="2"/>
    <x v="2"/>
    <x v="2"/>
    <n v="70"/>
    <x v="1"/>
    <x v="0"/>
  </r>
  <r>
    <n v="14754"/>
    <x v="0"/>
    <x v="1"/>
    <n v="40000"/>
    <n v="1"/>
    <x v="1"/>
    <s v="Clerical"/>
    <x v="0"/>
    <n v="1"/>
    <x v="3"/>
    <x v="2"/>
    <n v="48"/>
    <x v="0"/>
    <x v="1"/>
  </r>
  <r>
    <n v="23378"/>
    <x v="0"/>
    <x v="1"/>
    <n v="70000"/>
    <n v="1"/>
    <x v="1"/>
    <s v="Skilled Manual"/>
    <x v="0"/>
    <n v="1"/>
    <x v="1"/>
    <x v="2"/>
    <n v="44"/>
    <x v="0"/>
    <x v="1"/>
  </r>
  <r>
    <n v="26452"/>
    <x v="1"/>
    <x v="1"/>
    <n v="50000"/>
    <n v="3"/>
    <x v="4"/>
    <s v="Management"/>
    <x v="0"/>
    <n v="2"/>
    <x v="4"/>
    <x v="2"/>
    <n v="69"/>
    <x v="1"/>
    <x v="0"/>
  </r>
  <r>
    <n v="20370"/>
    <x v="0"/>
    <x v="1"/>
    <n v="70000"/>
    <n v="3"/>
    <x v="3"/>
    <s v="Skilled Manual"/>
    <x v="0"/>
    <n v="2"/>
    <x v="2"/>
    <x v="2"/>
    <n v="52"/>
    <x v="0"/>
    <x v="0"/>
  </r>
  <r>
    <n v="20528"/>
    <x v="0"/>
    <x v="1"/>
    <n v="40000"/>
    <n v="2"/>
    <x v="3"/>
    <s v="Skilled Manual"/>
    <x v="0"/>
    <n v="2"/>
    <x v="1"/>
    <x v="2"/>
    <n v="55"/>
    <x v="1"/>
    <x v="0"/>
  </r>
  <r>
    <n v="23549"/>
    <x v="1"/>
    <x v="1"/>
    <n v="30000"/>
    <n v="0"/>
    <x v="2"/>
    <s v="Skilled Manual"/>
    <x v="0"/>
    <n v="2"/>
    <x v="2"/>
    <x v="2"/>
    <n v="30"/>
    <x v="2"/>
    <x v="0"/>
  </r>
  <r>
    <n v="21751"/>
    <x v="0"/>
    <x v="1"/>
    <n v="60000"/>
    <n v="3"/>
    <x v="4"/>
    <s v="Management"/>
    <x v="0"/>
    <n v="2"/>
    <x v="3"/>
    <x v="2"/>
    <n v="63"/>
    <x v="1"/>
    <x v="0"/>
  </r>
  <r>
    <n v="21266"/>
    <x v="1"/>
    <x v="0"/>
    <n v="80000"/>
    <n v="0"/>
    <x v="0"/>
    <s v="Management"/>
    <x v="0"/>
    <n v="1"/>
    <x v="3"/>
    <x v="2"/>
    <n v="34"/>
    <x v="0"/>
    <x v="1"/>
  </r>
  <r>
    <n v="13388"/>
    <x v="1"/>
    <x v="1"/>
    <n v="60000"/>
    <n v="2"/>
    <x v="1"/>
    <s v="Professional"/>
    <x v="0"/>
    <n v="1"/>
    <x v="4"/>
    <x v="2"/>
    <n v="56"/>
    <x v="1"/>
    <x v="0"/>
  </r>
  <r>
    <n v="18752"/>
    <x v="1"/>
    <x v="0"/>
    <n v="40000"/>
    <n v="0"/>
    <x v="2"/>
    <s v="Skilled Manual"/>
    <x v="0"/>
    <n v="1"/>
    <x v="2"/>
    <x v="2"/>
    <n v="31"/>
    <x v="0"/>
    <x v="0"/>
  </r>
  <r>
    <n v="16917"/>
    <x v="0"/>
    <x v="1"/>
    <n v="120000"/>
    <n v="1"/>
    <x v="0"/>
    <s v="Management"/>
    <x v="0"/>
    <n v="4"/>
    <x v="0"/>
    <x v="2"/>
    <n v="38"/>
    <x v="0"/>
    <x v="0"/>
  </r>
  <r>
    <n v="15313"/>
    <x v="0"/>
    <x v="1"/>
    <n v="60000"/>
    <n v="4"/>
    <x v="0"/>
    <s v="Management"/>
    <x v="0"/>
    <n v="2"/>
    <x v="1"/>
    <x v="2"/>
    <n v="59"/>
    <x v="1"/>
    <x v="0"/>
  </r>
  <r>
    <n v="25329"/>
    <x v="1"/>
    <x v="0"/>
    <n v="40000"/>
    <n v="3"/>
    <x v="1"/>
    <s v="Clerical"/>
    <x v="1"/>
    <n v="2"/>
    <x v="0"/>
    <x v="2"/>
    <n v="32"/>
    <x v="0"/>
    <x v="0"/>
  </r>
  <r>
    <n v="20380"/>
    <x v="0"/>
    <x v="0"/>
    <n v="60000"/>
    <n v="3"/>
    <x v="4"/>
    <s v="Management"/>
    <x v="0"/>
    <n v="2"/>
    <x v="4"/>
    <x v="2"/>
    <n v="69"/>
    <x v="1"/>
    <x v="0"/>
  </r>
  <r>
    <n v="23089"/>
    <x v="0"/>
    <x v="1"/>
    <n v="40000"/>
    <n v="0"/>
    <x v="1"/>
    <s v="Skilled Manual"/>
    <x v="0"/>
    <n v="1"/>
    <x v="2"/>
    <x v="2"/>
    <n v="28"/>
    <x v="2"/>
    <x v="0"/>
  </r>
  <r>
    <n v="13749"/>
    <x v="0"/>
    <x v="1"/>
    <n v="80000"/>
    <n v="4"/>
    <x v="4"/>
    <s v="Skilled Manual"/>
    <x v="0"/>
    <n v="0"/>
    <x v="3"/>
    <x v="2"/>
    <n v="47"/>
    <x v="0"/>
    <x v="0"/>
  </r>
  <r>
    <n v="24943"/>
    <x v="0"/>
    <x v="1"/>
    <n v="60000"/>
    <n v="3"/>
    <x v="0"/>
    <s v="Management"/>
    <x v="0"/>
    <n v="2"/>
    <x v="4"/>
    <x v="2"/>
    <n v="66"/>
    <x v="1"/>
    <x v="0"/>
  </r>
  <r>
    <n v="28667"/>
    <x v="1"/>
    <x v="1"/>
    <n v="70000"/>
    <n v="2"/>
    <x v="0"/>
    <s v="Skilled Manual"/>
    <x v="1"/>
    <n v="1"/>
    <x v="0"/>
    <x v="2"/>
    <n v="37"/>
    <x v="0"/>
    <x v="1"/>
  </r>
  <r>
    <n v="15194"/>
    <x v="1"/>
    <x v="1"/>
    <n v="120000"/>
    <n v="2"/>
    <x v="0"/>
    <s v="Management"/>
    <x v="1"/>
    <n v="3"/>
    <x v="0"/>
    <x v="2"/>
    <n v="39"/>
    <x v="0"/>
    <x v="1"/>
  </r>
  <r>
    <n v="17436"/>
    <x v="0"/>
    <x v="1"/>
    <n v="60000"/>
    <n v="2"/>
    <x v="2"/>
    <s v="Professional"/>
    <x v="1"/>
    <n v="2"/>
    <x v="3"/>
    <x v="2"/>
    <n v="51"/>
    <x v="0"/>
    <x v="0"/>
  </r>
  <r>
    <n v="18935"/>
    <x v="0"/>
    <x v="0"/>
    <n v="130000"/>
    <n v="0"/>
    <x v="4"/>
    <s v="Management"/>
    <x v="0"/>
    <n v="3"/>
    <x v="3"/>
    <x v="2"/>
    <n v="40"/>
    <x v="0"/>
    <x v="0"/>
  </r>
  <r>
    <n v="16871"/>
    <x v="0"/>
    <x v="0"/>
    <n v="90000"/>
    <n v="2"/>
    <x v="2"/>
    <s v="Professional"/>
    <x v="0"/>
    <n v="1"/>
    <x v="4"/>
    <x v="2"/>
    <n v="51"/>
    <x v="0"/>
    <x v="1"/>
  </r>
  <r>
    <n v="12100"/>
    <x v="1"/>
    <x v="1"/>
    <n v="60000"/>
    <n v="2"/>
    <x v="0"/>
    <s v="Management"/>
    <x v="0"/>
    <n v="0"/>
    <x v="4"/>
    <x v="2"/>
    <n v="57"/>
    <x v="1"/>
    <x v="0"/>
  </r>
  <r>
    <n v="23158"/>
    <x v="0"/>
    <x v="0"/>
    <n v="60000"/>
    <n v="1"/>
    <x v="4"/>
    <s v="Professional"/>
    <x v="1"/>
    <n v="0"/>
    <x v="0"/>
    <x v="2"/>
    <n v="35"/>
    <x v="0"/>
    <x v="1"/>
  </r>
  <r>
    <n v="18545"/>
    <x v="0"/>
    <x v="1"/>
    <n v="40000"/>
    <n v="4"/>
    <x v="2"/>
    <s v="Professional"/>
    <x v="1"/>
    <n v="2"/>
    <x v="4"/>
    <x v="2"/>
    <n v="61"/>
    <x v="1"/>
    <x v="1"/>
  </r>
  <r>
    <n v="18391"/>
    <x v="1"/>
    <x v="0"/>
    <n v="80000"/>
    <n v="5"/>
    <x v="1"/>
    <s v="Professional"/>
    <x v="0"/>
    <n v="2"/>
    <x v="2"/>
    <x v="2"/>
    <n v="44"/>
    <x v="0"/>
    <x v="0"/>
  </r>
  <r>
    <n v="19812"/>
    <x v="1"/>
    <x v="0"/>
    <n v="70000"/>
    <n v="2"/>
    <x v="1"/>
    <s v="Professional"/>
    <x v="0"/>
    <n v="0"/>
    <x v="2"/>
    <x v="2"/>
    <n v="49"/>
    <x v="0"/>
    <x v="1"/>
  </r>
  <r>
    <n v="27660"/>
    <x v="0"/>
    <x v="1"/>
    <n v="80000"/>
    <n v="4"/>
    <x v="4"/>
    <s v="Management"/>
    <x v="0"/>
    <n v="2"/>
    <x v="2"/>
    <x v="2"/>
    <n v="70"/>
    <x v="1"/>
    <x v="0"/>
  </r>
  <r>
    <n v="18058"/>
    <x v="1"/>
    <x v="0"/>
    <n v="20000"/>
    <n v="3"/>
    <x v="2"/>
    <s v="Skilled Manual"/>
    <x v="0"/>
    <n v="2"/>
    <x v="1"/>
    <x v="2"/>
    <n v="78"/>
    <x v="1"/>
    <x v="0"/>
  </r>
  <r>
    <n v="20343"/>
    <x v="0"/>
    <x v="0"/>
    <n v="90000"/>
    <n v="4"/>
    <x v="1"/>
    <s v="Professional"/>
    <x v="0"/>
    <n v="1"/>
    <x v="3"/>
    <x v="2"/>
    <n v="45"/>
    <x v="0"/>
    <x v="0"/>
  </r>
  <r>
    <n v="28997"/>
    <x v="1"/>
    <x v="1"/>
    <n v="40000"/>
    <n v="2"/>
    <x v="2"/>
    <s v="Professional"/>
    <x v="1"/>
    <n v="1"/>
    <x v="1"/>
    <x v="2"/>
    <n v="58"/>
    <x v="1"/>
    <x v="1"/>
  </r>
  <r>
    <n v="24398"/>
    <x v="0"/>
    <x v="1"/>
    <n v="130000"/>
    <n v="1"/>
    <x v="4"/>
    <s v="Management"/>
    <x v="0"/>
    <n v="4"/>
    <x v="0"/>
    <x v="2"/>
    <n v="41"/>
    <x v="0"/>
    <x v="0"/>
  </r>
  <r>
    <n v="19002"/>
    <x v="0"/>
    <x v="0"/>
    <n v="60000"/>
    <n v="2"/>
    <x v="1"/>
    <s v="Professional"/>
    <x v="0"/>
    <n v="1"/>
    <x v="1"/>
    <x v="2"/>
    <n v="57"/>
    <x v="1"/>
    <x v="1"/>
  </r>
  <r>
    <n v="28609"/>
    <x v="0"/>
    <x v="1"/>
    <n v="30000"/>
    <n v="2"/>
    <x v="2"/>
    <s v="Skilled Manual"/>
    <x v="1"/>
    <n v="2"/>
    <x v="0"/>
    <x v="2"/>
    <n v="49"/>
    <x v="0"/>
    <x v="0"/>
  </r>
  <r>
    <n v="29231"/>
    <x v="1"/>
    <x v="1"/>
    <n v="80000"/>
    <n v="4"/>
    <x v="1"/>
    <s v="Professional"/>
    <x v="1"/>
    <n v="2"/>
    <x v="0"/>
    <x v="2"/>
    <n v="43"/>
    <x v="0"/>
    <x v="0"/>
  </r>
  <r>
    <n v="18858"/>
    <x v="1"/>
    <x v="1"/>
    <n v="60000"/>
    <n v="2"/>
    <x v="3"/>
    <s v="Skilled Manual"/>
    <x v="0"/>
    <n v="2"/>
    <x v="2"/>
    <x v="2"/>
    <n v="52"/>
    <x v="0"/>
    <x v="1"/>
  </r>
  <r>
    <n v="20000"/>
    <x v="0"/>
    <x v="1"/>
    <n v="60000"/>
    <n v="1"/>
    <x v="4"/>
    <s v="Professional"/>
    <x v="0"/>
    <n v="0"/>
    <x v="0"/>
    <x v="2"/>
    <n v="35"/>
    <x v="0"/>
    <x v="1"/>
  </r>
  <r>
    <n v="25261"/>
    <x v="0"/>
    <x v="1"/>
    <n v="40000"/>
    <n v="0"/>
    <x v="2"/>
    <s v="Skilled Manual"/>
    <x v="0"/>
    <n v="2"/>
    <x v="2"/>
    <x v="2"/>
    <n v="27"/>
    <x v="2"/>
    <x v="0"/>
  </r>
  <r>
    <n v="17458"/>
    <x v="1"/>
    <x v="1"/>
    <n v="70000"/>
    <n v="3"/>
    <x v="2"/>
    <s v="Professional"/>
    <x v="0"/>
    <n v="0"/>
    <x v="2"/>
    <x v="2"/>
    <n v="52"/>
    <x v="0"/>
    <x v="1"/>
  </r>
  <r>
    <n v="11644"/>
    <x v="1"/>
    <x v="1"/>
    <n v="40000"/>
    <n v="2"/>
    <x v="0"/>
    <s v="Skilled Manual"/>
    <x v="0"/>
    <n v="0"/>
    <x v="1"/>
    <x v="2"/>
    <n v="36"/>
    <x v="0"/>
    <x v="0"/>
  </r>
  <r>
    <n v="16145"/>
    <x v="1"/>
    <x v="0"/>
    <n v="70000"/>
    <n v="5"/>
    <x v="4"/>
    <s v="Professional"/>
    <x v="0"/>
    <n v="3"/>
    <x v="4"/>
    <x v="2"/>
    <n v="46"/>
    <x v="0"/>
    <x v="1"/>
  </r>
  <r>
    <n v="16890"/>
    <x v="0"/>
    <x v="1"/>
    <n v="60000"/>
    <n v="3"/>
    <x v="3"/>
    <s v="Skilled Manual"/>
    <x v="0"/>
    <n v="2"/>
    <x v="2"/>
    <x v="2"/>
    <n v="52"/>
    <x v="0"/>
    <x v="1"/>
  </r>
  <r>
    <n v="25983"/>
    <x v="0"/>
    <x v="1"/>
    <n v="70000"/>
    <n v="0"/>
    <x v="0"/>
    <s v="Professional"/>
    <x v="1"/>
    <n v="1"/>
    <x v="0"/>
    <x v="2"/>
    <n v="43"/>
    <x v="0"/>
    <x v="0"/>
  </r>
  <r>
    <n v="14633"/>
    <x v="0"/>
    <x v="1"/>
    <n v="60000"/>
    <n v="1"/>
    <x v="1"/>
    <s v="Skilled Manual"/>
    <x v="0"/>
    <n v="1"/>
    <x v="1"/>
    <x v="2"/>
    <n v="44"/>
    <x v="0"/>
    <x v="0"/>
  </r>
  <r>
    <n v="22994"/>
    <x v="0"/>
    <x v="0"/>
    <n v="80000"/>
    <n v="0"/>
    <x v="0"/>
    <s v="Management"/>
    <x v="0"/>
    <n v="1"/>
    <x v="3"/>
    <x v="2"/>
    <n v="34"/>
    <x v="0"/>
    <x v="1"/>
  </r>
  <r>
    <n v="22983"/>
    <x v="1"/>
    <x v="0"/>
    <n v="30000"/>
    <n v="0"/>
    <x v="3"/>
    <s v="Clerical"/>
    <x v="0"/>
    <n v="2"/>
    <x v="2"/>
    <x v="2"/>
    <n v="27"/>
    <x v="2"/>
    <x v="0"/>
  </r>
  <r>
    <n v="25184"/>
    <x v="1"/>
    <x v="1"/>
    <n v="110000"/>
    <n v="1"/>
    <x v="1"/>
    <s v="Professional"/>
    <x v="0"/>
    <n v="4"/>
    <x v="2"/>
    <x v="2"/>
    <n v="45"/>
    <x v="0"/>
    <x v="1"/>
  </r>
  <r>
    <n v="14469"/>
    <x v="0"/>
    <x v="0"/>
    <n v="100000"/>
    <n v="3"/>
    <x v="1"/>
    <s v="Professional"/>
    <x v="0"/>
    <n v="4"/>
    <x v="3"/>
    <x v="2"/>
    <n v="45"/>
    <x v="0"/>
    <x v="0"/>
  </r>
  <r>
    <n v="11538"/>
    <x v="1"/>
    <x v="0"/>
    <n v="60000"/>
    <n v="4"/>
    <x v="4"/>
    <s v="Skilled Manual"/>
    <x v="1"/>
    <n v="0"/>
    <x v="0"/>
    <x v="2"/>
    <n v="47"/>
    <x v="0"/>
    <x v="1"/>
  </r>
  <r>
    <n v="16245"/>
    <x v="1"/>
    <x v="0"/>
    <n v="80000"/>
    <n v="4"/>
    <x v="4"/>
    <s v="Skilled Manual"/>
    <x v="0"/>
    <n v="0"/>
    <x v="3"/>
    <x v="2"/>
    <n v="47"/>
    <x v="0"/>
    <x v="0"/>
  </r>
  <r>
    <n v="17858"/>
    <x v="0"/>
    <x v="1"/>
    <n v="40000"/>
    <n v="4"/>
    <x v="2"/>
    <s v="Skilled Manual"/>
    <x v="0"/>
    <n v="2"/>
    <x v="1"/>
    <x v="2"/>
    <n v="44"/>
    <x v="0"/>
    <x v="1"/>
  </r>
  <r>
    <n v="25347"/>
    <x v="1"/>
    <x v="0"/>
    <n v="20000"/>
    <n v="3"/>
    <x v="3"/>
    <s v="Clerical"/>
    <x v="1"/>
    <n v="2"/>
    <x v="0"/>
    <x v="2"/>
    <n v="49"/>
    <x v="0"/>
    <x v="0"/>
  </r>
  <r>
    <n v="15814"/>
    <x v="1"/>
    <x v="0"/>
    <n v="40000"/>
    <n v="0"/>
    <x v="2"/>
    <s v="Skilled Manual"/>
    <x v="0"/>
    <n v="1"/>
    <x v="2"/>
    <x v="2"/>
    <n v="30"/>
    <x v="2"/>
    <x v="0"/>
  </r>
  <r>
    <n v="11259"/>
    <x v="0"/>
    <x v="0"/>
    <n v="100000"/>
    <n v="4"/>
    <x v="1"/>
    <s v="Professional"/>
    <x v="0"/>
    <n v="4"/>
    <x v="1"/>
    <x v="2"/>
    <n v="41"/>
    <x v="0"/>
    <x v="1"/>
  </r>
  <r>
    <n v="11200"/>
    <x v="0"/>
    <x v="1"/>
    <n v="70000"/>
    <n v="4"/>
    <x v="0"/>
    <s v="Management"/>
    <x v="0"/>
    <n v="1"/>
    <x v="3"/>
    <x v="2"/>
    <n v="58"/>
    <x v="1"/>
    <x v="0"/>
  </r>
  <r>
    <n v="25101"/>
    <x v="0"/>
    <x v="1"/>
    <n v="60000"/>
    <n v="5"/>
    <x v="0"/>
    <s v="Professional"/>
    <x v="0"/>
    <n v="1"/>
    <x v="1"/>
    <x v="2"/>
    <n v="47"/>
    <x v="0"/>
    <x v="0"/>
  </r>
  <r>
    <n v="21801"/>
    <x v="0"/>
    <x v="0"/>
    <n v="70000"/>
    <n v="4"/>
    <x v="1"/>
    <s v="Professional"/>
    <x v="0"/>
    <n v="1"/>
    <x v="3"/>
    <x v="2"/>
    <n v="55"/>
    <x v="1"/>
    <x v="0"/>
  </r>
  <r>
    <n v="25943"/>
    <x v="1"/>
    <x v="0"/>
    <n v="70000"/>
    <n v="0"/>
    <x v="1"/>
    <s v="Skilled Manual"/>
    <x v="1"/>
    <n v="2"/>
    <x v="0"/>
    <x v="2"/>
    <n v="27"/>
    <x v="2"/>
    <x v="1"/>
  </r>
  <r>
    <n v="22127"/>
    <x v="0"/>
    <x v="1"/>
    <n v="60000"/>
    <n v="3"/>
    <x v="4"/>
    <s v="Management"/>
    <x v="0"/>
    <n v="2"/>
    <x v="3"/>
    <x v="2"/>
    <n v="67"/>
    <x v="1"/>
    <x v="0"/>
  </r>
  <r>
    <n v="20414"/>
    <x v="0"/>
    <x v="0"/>
    <n v="60000"/>
    <n v="0"/>
    <x v="1"/>
    <s v="Skilled Manual"/>
    <x v="0"/>
    <n v="2"/>
    <x v="2"/>
    <x v="2"/>
    <n v="29"/>
    <x v="2"/>
    <x v="0"/>
  </r>
  <r>
    <n v="23672"/>
    <x v="0"/>
    <x v="0"/>
    <n v="60000"/>
    <n v="3"/>
    <x v="4"/>
    <s v="Management"/>
    <x v="0"/>
    <n v="2"/>
    <x v="3"/>
    <x v="2"/>
    <n v="67"/>
    <x v="1"/>
    <x v="0"/>
  </r>
  <r>
    <n v="29255"/>
    <x v="1"/>
    <x v="1"/>
    <n v="80000"/>
    <n v="3"/>
    <x v="1"/>
    <s v="Professional"/>
    <x v="1"/>
    <n v="1"/>
    <x v="3"/>
    <x v="2"/>
    <n v="51"/>
    <x v="0"/>
    <x v="1"/>
  </r>
  <r>
    <n v="28815"/>
    <x v="0"/>
    <x v="0"/>
    <n v="50000"/>
    <n v="1"/>
    <x v="4"/>
    <s v="Skilled Manual"/>
    <x v="0"/>
    <n v="0"/>
    <x v="0"/>
    <x v="2"/>
    <n v="35"/>
    <x v="0"/>
    <x v="0"/>
  </r>
  <r>
    <n v="27753"/>
    <x v="0"/>
    <x v="1"/>
    <n v="40000"/>
    <n v="0"/>
    <x v="2"/>
    <s v="Skilled Manual"/>
    <x v="1"/>
    <n v="2"/>
    <x v="3"/>
    <x v="2"/>
    <n v="30"/>
    <x v="2"/>
    <x v="0"/>
  </r>
  <r>
    <n v="27643"/>
    <x v="1"/>
    <x v="1"/>
    <n v="70000"/>
    <n v="5"/>
    <x v="1"/>
    <s v="Professional"/>
    <x v="0"/>
    <n v="3"/>
    <x v="1"/>
    <x v="2"/>
    <n v="44"/>
    <x v="0"/>
    <x v="0"/>
  </r>
  <r>
    <n v="13754"/>
    <x v="1"/>
    <x v="0"/>
    <n v="80000"/>
    <n v="4"/>
    <x v="4"/>
    <s v="Skilled Manual"/>
    <x v="0"/>
    <n v="0"/>
    <x v="3"/>
    <x v="2"/>
    <n v="48"/>
    <x v="0"/>
    <x v="0"/>
  </r>
  <r>
    <n v="22088"/>
    <x v="0"/>
    <x v="0"/>
    <n v="130000"/>
    <n v="1"/>
    <x v="0"/>
    <s v="Management"/>
    <x v="0"/>
    <n v="2"/>
    <x v="0"/>
    <x v="2"/>
    <n v="45"/>
    <x v="0"/>
    <x v="1"/>
  </r>
  <r>
    <n v="27388"/>
    <x v="0"/>
    <x v="1"/>
    <n v="60000"/>
    <n v="3"/>
    <x v="0"/>
    <s v="Management"/>
    <x v="1"/>
    <n v="2"/>
    <x v="3"/>
    <x v="2"/>
    <n v="66"/>
    <x v="1"/>
    <x v="0"/>
  </r>
  <r>
    <n v="24745"/>
    <x v="1"/>
    <x v="0"/>
    <n v="30000"/>
    <n v="2"/>
    <x v="2"/>
    <s v="Skilled Manual"/>
    <x v="1"/>
    <n v="2"/>
    <x v="0"/>
    <x v="2"/>
    <n v="49"/>
    <x v="0"/>
    <x v="0"/>
  </r>
  <r>
    <n v="29237"/>
    <x v="1"/>
    <x v="0"/>
    <n v="120000"/>
    <n v="4"/>
    <x v="1"/>
    <s v="Professional"/>
    <x v="0"/>
    <n v="3"/>
    <x v="2"/>
    <x v="2"/>
    <n v="43"/>
    <x v="0"/>
    <x v="1"/>
  </r>
  <r>
    <n v="15272"/>
    <x v="1"/>
    <x v="1"/>
    <n v="40000"/>
    <n v="0"/>
    <x v="2"/>
    <s v="Skilled Manual"/>
    <x v="1"/>
    <n v="2"/>
    <x v="3"/>
    <x v="2"/>
    <n v="30"/>
    <x v="2"/>
    <x v="0"/>
  </r>
  <r>
    <n v="18949"/>
    <x v="1"/>
    <x v="1"/>
    <n v="70000"/>
    <n v="0"/>
    <x v="4"/>
    <s v="Management"/>
    <x v="0"/>
    <n v="2"/>
    <x v="2"/>
    <x v="2"/>
    <n v="74"/>
    <x v="1"/>
    <x v="1"/>
  </r>
  <r>
    <n v="14507"/>
    <x v="0"/>
    <x v="1"/>
    <n v="100000"/>
    <n v="2"/>
    <x v="4"/>
    <s v="Management"/>
    <x v="0"/>
    <n v="3"/>
    <x v="3"/>
    <x v="2"/>
    <n v="65"/>
    <x v="1"/>
    <x v="0"/>
  </r>
  <r>
    <n v="25886"/>
    <x v="0"/>
    <x v="0"/>
    <n v="60000"/>
    <n v="2"/>
    <x v="1"/>
    <s v="Professional"/>
    <x v="0"/>
    <n v="2"/>
    <x v="1"/>
    <x v="2"/>
    <n v="56"/>
    <x v="1"/>
    <x v="1"/>
  </r>
  <r>
    <n v="21441"/>
    <x v="0"/>
    <x v="1"/>
    <n v="50000"/>
    <n v="4"/>
    <x v="0"/>
    <s v="Management"/>
    <x v="0"/>
    <n v="2"/>
    <x v="4"/>
    <x v="2"/>
    <n v="64"/>
    <x v="1"/>
    <x v="0"/>
  </r>
  <r>
    <n v="21741"/>
    <x v="0"/>
    <x v="0"/>
    <n v="70000"/>
    <n v="3"/>
    <x v="1"/>
    <s v="Professional"/>
    <x v="0"/>
    <n v="2"/>
    <x v="2"/>
    <x v="2"/>
    <n v="50"/>
    <x v="0"/>
    <x v="1"/>
  </r>
  <r>
    <n v="14572"/>
    <x v="0"/>
    <x v="0"/>
    <n v="70000"/>
    <n v="3"/>
    <x v="4"/>
    <s v="Professional"/>
    <x v="0"/>
    <n v="0"/>
    <x v="1"/>
    <x v="2"/>
    <n v="35"/>
    <x v="0"/>
    <x v="1"/>
  </r>
  <r>
    <n v="23368"/>
    <x v="0"/>
    <x v="0"/>
    <n v="60000"/>
    <n v="5"/>
    <x v="0"/>
    <s v="Skilled Manual"/>
    <x v="0"/>
    <n v="3"/>
    <x v="4"/>
    <x v="2"/>
    <n v="41"/>
    <x v="0"/>
    <x v="0"/>
  </r>
  <r>
    <n v="16217"/>
    <x v="1"/>
    <x v="0"/>
    <n v="60000"/>
    <n v="0"/>
    <x v="4"/>
    <s v="Skilled Manual"/>
    <x v="0"/>
    <n v="0"/>
    <x v="0"/>
    <x v="2"/>
    <n v="39"/>
    <x v="0"/>
    <x v="0"/>
  </r>
  <r>
    <n v="16247"/>
    <x v="1"/>
    <x v="0"/>
    <n v="60000"/>
    <n v="4"/>
    <x v="4"/>
    <s v="Skilled Manual"/>
    <x v="1"/>
    <n v="0"/>
    <x v="3"/>
    <x v="2"/>
    <n v="47"/>
    <x v="0"/>
    <x v="0"/>
  </r>
  <r>
    <n v="22010"/>
    <x v="1"/>
    <x v="1"/>
    <n v="40000"/>
    <n v="0"/>
    <x v="2"/>
    <s v="Skilled Manual"/>
    <x v="0"/>
    <n v="2"/>
    <x v="2"/>
    <x v="2"/>
    <n v="31"/>
    <x v="0"/>
    <x v="0"/>
  </r>
  <r>
    <n v="25872"/>
    <x v="1"/>
    <x v="0"/>
    <n v="70000"/>
    <n v="2"/>
    <x v="0"/>
    <s v="Management"/>
    <x v="1"/>
    <n v="1"/>
    <x v="1"/>
    <x v="2"/>
    <n v="58"/>
    <x v="1"/>
    <x v="1"/>
  </r>
  <r>
    <n v="19164"/>
    <x v="1"/>
    <x v="0"/>
    <n v="70000"/>
    <n v="0"/>
    <x v="0"/>
    <s v="Professional"/>
    <x v="1"/>
    <n v="1"/>
    <x v="1"/>
    <x v="2"/>
    <n v="38"/>
    <x v="0"/>
    <x v="1"/>
  </r>
  <r>
    <n v="18435"/>
    <x v="1"/>
    <x v="0"/>
    <n v="70000"/>
    <n v="5"/>
    <x v="4"/>
    <s v="Management"/>
    <x v="0"/>
    <n v="2"/>
    <x v="4"/>
    <x v="2"/>
    <n v="67"/>
    <x v="1"/>
    <x v="1"/>
  </r>
  <r>
    <n v="14284"/>
    <x v="1"/>
    <x v="1"/>
    <n v="60000"/>
    <n v="0"/>
    <x v="1"/>
    <s v="Professional"/>
    <x v="1"/>
    <n v="2"/>
    <x v="3"/>
    <x v="2"/>
    <n v="32"/>
    <x v="0"/>
    <x v="1"/>
  </r>
  <r>
    <n v="11287"/>
    <x v="0"/>
    <x v="1"/>
    <n v="70000"/>
    <n v="5"/>
    <x v="1"/>
    <s v="Professional"/>
    <x v="1"/>
    <n v="3"/>
    <x v="2"/>
    <x v="2"/>
    <n v="45"/>
    <x v="0"/>
    <x v="0"/>
  </r>
  <r>
    <n v="13066"/>
    <x v="1"/>
    <x v="1"/>
    <n v="30000"/>
    <n v="0"/>
    <x v="2"/>
    <s v="Skilled Manual"/>
    <x v="1"/>
    <n v="2"/>
    <x v="3"/>
    <x v="2"/>
    <n v="31"/>
    <x v="0"/>
    <x v="1"/>
  </r>
  <r>
    <n v="29106"/>
    <x v="1"/>
    <x v="1"/>
    <n v="40000"/>
    <n v="0"/>
    <x v="2"/>
    <s v="Skilled Manual"/>
    <x v="1"/>
    <n v="2"/>
    <x v="3"/>
    <x v="2"/>
    <n v="31"/>
    <x v="0"/>
    <x v="1"/>
  </r>
  <r>
    <n v="26236"/>
    <x v="0"/>
    <x v="0"/>
    <n v="40000"/>
    <n v="3"/>
    <x v="1"/>
    <s v="Clerical"/>
    <x v="0"/>
    <n v="1"/>
    <x v="0"/>
    <x v="2"/>
    <n v="31"/>
    <x v="0"/>
    <x v="0"/>
  </r>
  <r>
    <n v="17531"/>
    <x v="0"/>
    <x v="1"/>
    <n v="60000"/>
    <n v="2"/>
    <x v="2"/>
    <s v="Professional"/>
    <x v="1"/>
    <n v="2"/>
    <x v="2"/>
    <x v="2"/>
    <n v="50"/>
    <x v="0"/>
    <x v="0"/>
  </r>
  <r>
    <n v="12964"/>
    <x v="0"/>
    <x v="1"/>
    <n v="70000"/>
    <n v="1"/>
    <x v="1"/>
    <s v="Skilled Manual"/>
    <x v="0"/>
    <n v="1"/>
    <x v="0"/>
    <x v="2"/>
    <n v="44"/>
    <x v="0"/>
    <x v="0"/>
  </r>
  <r>
    <n v="19133"/>
    <x v="1"/>
    <x v="1"/>
    <n v="50000"/>
    <n v="2"/>
    <x v="0"/>
    <s v="Skilled Manual"/>
    <x v="0"/>
    <n v="1"/>
    <x v="1"/>
    <x v="2"/>
    <n v="38"/>
    <x v="0"/>
    <x v="1"/>
  </r>
  <r>
    <n v="24643"/>
    <x v="1"/>
    <x v="0"/>
    <n v="60000"/>
    <n v="4"/>
    <x v="0"/>
    <s v="Management"/>
    <x v="0"/>
    <n v="2"/>
    <x v="4"/>
    <x v="2"/>
    <n v="63"/>
    <x v="1"/>
    <x v="0"/>
  </r>
  <r>
    <n v="21599"/>
    <x v="0"/>
    <x v="0"/>
    <n v="60000"/>
    <n v="1"/>
    <x v="4"/>
    <s v="Professional"/>
    <x v="0"/>
    <n v="0"/>
    <x v="1"/>
    <x v="2"/>
    <n v="36"/>
    <x v="0"/>
    <x v="1"/>
  </r>
  <r>
    <n v="22976"/>
    <x v="1"/>
    <x v="1"/>
    <n v="40000"/>
    <n v="0"/>
    <x v="2"/>
    <s v="Skilled Manual"/>
    <x v="1"/>
    <n v="2"/>
    <x v="0"/>
    <x v="2"/>
    <n v="28"/>
    <x v="2"/>
    <x v="1"/>
  </r>
  <r>
    <n v="27637"/>
    <x v="1"/>
    <x v="0"/>
    <n v="100000"/>
    <n v="1"/>
    <x v="1"/>
    <s v="Professional"/>
    <x v="1"/>
    <n v="3"/>
    <x v="3"/>
    <x v="2"/>
    <n v="44"/>
    <x v="0"/>
    <x v="0"/>
  </r>
  <r>
    <n v="11890"/>
    <x v="0"/>
    <x v="0"/>
    <n v="70000"/>
    <n v="5"/>
    <x v="4"/>
    <s v="Professional"/>
    <x v="0"/>
    <n v="1"/>
    <x v="0"/>
    <x v="2"/>
    <n v="47"/>
    <x v="0"/>
    <x v="0"/>
  </r>
  <r>
    <n v="28580"/>
    <x v="0"/>
    <x v="0"/>
    <n v="80000"/>
    <n v="0"/>
    <x v="4"/>
    <s v="Skilled Manual"/>
    <x v="0"/>
    <n v="0"/>
    <x v="3"/>
    <x v="2"/>
    <n v="40"/>
    <x v="0"/>
    <x v="1"/>
  </r>
  <r>
    <n v="14443"/>
    <x v="0"/>
    <x v="1"/>
    <n v="130000"/>
    <n v="1"/>
    <x v="4"/>
    <s v="Management"/>
    <x v="0"/>
    <n v="4"/>
    <x v="0"/>
    <x v="2"/>
    <n v="40"/>
    <x v="0"/>
    <x v="0"/>
  </r>
  <r>
    <n v="17864"/>
    <x v="0"/>
    <x v="0"/>
    <n v="60000"/>
    <n v="1"/>
    <x v="1"/>
    <s v="Skilled Manual"/>
    <x v="0"/>
    <n v="1"/>
    <x v="1"/>
    <x v="2"/>
    <n v="46"/>
    <x v="0"/>
    <x v="1"/>
  </r>
  <r>
    <n v="20505"/>
    <x v="0"/>
    <x v="0"/>
    <n v="40000"/>
    <n v="5"/>
    <x v="2"/>
    <s v="Professional"/>
    <x v="1"/>
    <n v="2"/>
    <x v="4"/>
    <x v="2"/>
    <n v="61"/>
    <x v="1"/>
    <x v="0"/>
  </r>
  <r>
    <n v="14592"/>
    <x v="0"/>
    <x v="0"/>
    <n v="60000"/>
    <n v="0"/>
    <x v="4"/>
    <s v="Professional"/>
    <x v="0"/>
    <n v="0"/>
    <x v="0"/>
    <x v="2"/>
    <n v="40"/>
    <x v="0"/>
    <x v="0"/>
  </r>
  <r>
    <n v="22227"/>
    <x v="0"/>
    <x v="0"/>
    <n v="60000"/>
    <n v="2"/>
    <x v="2"/>
    <s v="Professional"/>
    <x v="0"/>
    <n v="2"/>
    <x v="2"/>
    <x v="2"/>
    <n v="50"/>
    <x v="0"/>
    <x v="0"/>
  </r>
  <r>
    <n v="21471"/>
    <x v="0"/>
    <x v="1"/>
    <n v="70000"/>
    <n v="2"/>
    <x v="1"/>
    <s v="Professional"/>
    <x v="0"/>
    <n v="1"/>
    <x v="4"/>
    <x v="2"/>
    <n v="59"/>
    <x v="1"/>
    <x v="0"/>
  </r>
  <r>
    <n v="22252"/>
    <x v="1"/>
    <x v="0"/>
    <n v="60000"/>
    <n v="1"/>
    <x v="4"/>
    <s v="Professional"/>
    <x v="0"/>
    <n v="0"/>
    <x v="1"/>
    <x v="2"/>
    <n v="36"/>
    <x v="0"/>
    <x v="1"/>
  </r>
  <r>
    <n v="21260"/>
    <x v="1"/>
    <x v="0"/>
    <n v="40000"/>
    <n v="0"/>
    <x v="2"/>
    <s v="Skilled Manual"/>
    <x v="0"/>
    <n v="2"/>
    <x v="2"/>
    <x v="2"/>
    <n v="30"/>
    <x v="2"/>
    <x v="0"/>
  </r>
  <r>
    <n v="11817"/>
    <x v="1"/>
    <x v="0"/>
    <n v="70000"/>
    <n v="4"/>
    <x v="4"/>
    <s v="Professional"/>
    <x v="0"/>
    <n v="0"/>
    <x v="1"/>
    <x v="2"/>
    <n v="35"/>
    <x v="0"/>
    <x v="1"/>
  </r>
  <r>
    <n v="19223"/>
    <x v="0"/>
    <x v="0"/>
    <n v="30000"/>
    <n v="2"/>
    <x v="2"/>
    <s v="Skilled Manual"/>
    <x v="0"/>
    <n v="2"/>
    <x v="3"/>
    <x v="2"/>
    <n v="48"/>
    <x v="0"/>
    <x v="0"/>
  </r>
  <r>
    <n v="18517"/>
    <x v="0"/>
    <x v="1"/>
    <n v="100000"/>
    <n v="3"/>
    <x v="0"/>
    <s v="Management"/>
    <x v="0"/>
    <n v="4"/>
    <x v="0"/>
    <x v="2"/>
    <n v="41"/>
    <x v="0"/>
    <x v="0"/>
  </r>
  <r>
    <n v="21717"/>
    <x v="0"/>
    <x v="1"/>
    <n v="40000"/>
    <n v="2"/>
    <x v="1"/>
    <s v="Clerical"/>
    <x v="0"/>
    <n v="1"/>
    <x v="0"/>
    <x v="2"/>
    <n v="47"/>
    <x v="0"/>
    <x v="0"/>
  </r>
  <r>
    <n v="13760"/>
    <x v="0"/>
    <x v="1"/>
    <n v="60000"/>
    <n v="4"/>
    <x v="4"/>
    <s v="Skilled Manual"/>
    <x v="1"/>
    <n v="0"/>
    <x v="0"/>
    <x v="2"/>
    <n v="47"/>
    <x v="0"/>
    <x v="0"/>
  </r>
  <r>
    <n v="18145"/>
    <x v="0"/>
    <x v="1"/>
    <n v="80000"/>
    <n v="5"/>
    <x v="0"/>
    <s v="Management"/>
    <x v="1"/>
    <n v="2"/>
    <x v="1"/>
    <x v="0"/>
    <n v="62"/>
    <x v="1"/>
    <x v="0"/>
  </r>
  <r>
    <n v="21770"/>
    <x v="0"/>
    <x v="1"/>
    <n v="60000"/>
    <n v="4"/>
    <x v="0"/>
    <s v="Management"/>
    <x v="0"/>
    <n v="2"/>
    <x v="4"/>
    <x v="2"/>
    <n v="60"/>
    <x v="1"/>
    <x v="0"/>
  </r>
  <r>
    <n v="11165"/>
    <x v="0"/>
    <x v="0"/>
    <n v="60000"/>
    <n v="0"/>
    <x v="1"/>
    <s v="Skilled Manual"/>
    <x v="1"/>
    <n v="1"/>
    <x v="3"/>
    <x v="2"/>
    <n v="33"/>
    <x v="0"/>
    <x v="0"/>
  </r>
  <r>
    <n v="16377"/>
    <x v="1"/>
    <x v="0"/>
    <n v="80000"/>
    <n v="4"/>
    <x v="4"/>
    <s v="Skilled Manual"/>
    <x v="1"/>
    <n v="0"/>
    <x v="0"/>
    <x v="2"/>
    <n v="47"/>
    <x v="0"/>
    <x v="0"/>
  </r>
  <r>
    <n v="26248"/>
    <x v="0"/>
    <x v="1"/>
    <n v="20000"/>
    <n v="3"/>
    <x v="3"/>
    <s v="Clerical"/>
    <x v="1"/>
    <n v="2"/>
    <x v="0"/>
    <x v="2"/>
    <n v="52"/>
    <x v="0"/>
    <x v="0"/>
  </r>
  <r>
    <n v="23461"/>
    <x v="0"/>
    <x v="0"/>
    <n v="90000"/>
    <n v="5"/>
    <x v="1"/>
    <s v="Professional"/>
    <x v="0"/>
    <n v="3"/>
    <x v="1"/>
    <x v="2"/>
    <n v="40"/>
    <x v="0"/>
    <x v="0"/>
  </r>
  <r>
    <n v="29133"/>
    <x v="1"/>
    <x v="0"/>
    <n v="60000"/>
    <n v="4"/>
    <x v="0"/>
    <s v="Skilled Manual"/>
    <x v="1"/>
    <n v="2"/>
    <x v="0"/>
    <x v="2"/>
    <n v="42"/>
    <x v="0"/>
    <x v="0"/>
  </r>
  <r>
    <n v="27673"/>
    <x v="1"/>
    <x v="0"/>
    <n v="60000"/>
    <n v="3"/>
    <x v="4"/>
    <s v="Management"/>
    <x v="0"/>
    <n v="2"/>
    <x v="2"/>
    <x v="2"/>
    <n v="53"/>
    <x v="0"/>
    <x v="1"/>
  </r>
  <r>
    <n v="12774"/>
    <x v="0"/>
    <x v="0"/>
    <n v="40000"/>
    <n v="1"/>
    <x v="1"/>
    <s v="Clerical"/>
    <x v="0"/>
    <n v="1"/>
    <x v="3"/>
    <x v="2"/>
    <n v="51"/>
    <x v="0"/>
    <x v="1"/>
  </r>
  <r>
    <n v="18910"/>
    <x v="1"/>
    <x v="1"/>
    <n v="30000"/>
    <n v="0"/>
    <x v="1"/>
    <s v="Skilled Manual"/>
    <x v="0"/>
    <n v="2"/>
    <x v="2"/>
    <x v="2"/>
    <n v="30"/>
    <x v="2"/>
    <x v="0"/>
  </r>
  <r>
    <n v="11699"/>
    <x v="1"/>
    <x v="1"/>
    <n v="60000"/>
    <n v="0"/>
    <x v="0"/>
    <s v="Skilled Manual"/>
    <x v="1"/>
    <n v="2"/>
    <x v="0"/>
    <x v="2"/>
    <n v="30"/>
    <x v="2"/>
    <x v="0"/>
  </r>
  <r>
    <n v="16725"/>
    <x v="0"/>
    <x v="1"/>
    <n v="30000"/>
    <n v="0"/>
    <x v="2"/>
    <s v="Skilled Manual"/>
    <x v="0"/>
    <n v="2"/>
    <x v="2"/>
    <x v="2"/>
    <n v="26"/>
    <x v="2"/>
    <x v="0"/>
  </r>
  <r>
    <n v="28269"/>
    <x v="1"/>
    <x v="0"/>
    <n v="130000"/>
    <n v="1"/>
    <x v="0"/>
    <s v="Management"/>
    <x v="1"/>
    <n v="1"/>
    <x v="1"/>
    <x v="2"/>
    <n v="45"/>
    <x v="0"/>
    <x v="0"/>
  </r>
  <r>
    <n v="23144"/>
    <x v="0"/>
    <x v="1"/>
    <n v="50000"/>
    <n v="1"/>
    <x v="0"/>
    <s v="Skilled Manual"/>
    <x v="0"/>
    <n v="0"/>
    <x v="0"/>
    <x v="2"/>
    <n v="34"/>
    <x v="0"/>
    <x v="1"/>
  </r>
  <r>
    <n v="23376"/>
    <x v="0"/>
    <x v="1"/>
    <n v="70000"/>
    <n v="1"/>
    <x v="0"/>
    <s v="Professional"/>
    <x v="0"/>
    <n v="1"/>
    <x v="1"/>
    <x v="2"/>
    <n v="44"/>
    <x v="0"/>
    <x v="1"/>
  </r>
  <r>
    <n v="25970"/>
    <x v="1"/>
    <x v="0"/>
    <n v="60000"/>
    <n v="4"/>
    <x v="0"/>
    <s v="Skilled Manual"/>
    <x v="1"/>
    <n v="2"/>
    <x v="0"/>
    <x v="2"/>
    <n v="41"/>
    <x v="0"/>
    <x v="1"/>
  </r>
  <r>
    <n v="28068"/>
    <x v="1"/>
    <x v="0"/>
    <n v="80000"/>
    <n v="3"/>
    <x v="4"/>
    <s v="Professional"/>
    <x v="1"/>
    <n v="0"/>
    <x v="0"/>
    <x v="2"/>
    <n v="36"/>
    <x v="0"/>
    <x v="1"/>
  </r>
  <r>
    <n v="18390"/>
    <x v="0"/>
    <x v="1"/>
    <n v="80000"/>
    <n v="5"/>
    <x v="1"/>
    <s v="Professional"/>
    <x v="0"/>
    <n v="2"/>
    <x v="0"/>
    <x v="2"/>
    <n v="44"/>
    <x v="0"/>
    <x v="0"/>
  </r>
  <r>
    <n v="29112"/>
    <x v="1"/>
    <x v="1"/>
    <n v="60000"/>
    <n v="0"/>
    <x v="1"/>
    <s v="Professional"/>
    <x v="1"/>
    <n v="2"/>
    <x v="3"/>
    <x v="2"/>
    <n v="30"/>
    <x v="2"/>
    <x v="0"/>
  </r>
  <r>
    <n v="14090"/>
    <x v="0"/>
    <x v="0"/>
    <n v="30000"/>
    <n v="0"/>
    <x v="3"/>
    <s v="Clerical"/>
    <x v="1"/>
    <n v="2"/>
    <x v="0"/>
    <x v="2"/>
    <n v="28"/>
    <x v="2"/>
    <x v="0"/>
  </r>
  <r>
    <n v="27040"/>
    <x v="0"/>
    <x v="1"/>
    <n v="20000"/>
    <n v="2"/>
    <x v="3"/>
    <s v="Clerical"/>
    <x v="0"/>
    <n v="2"/>
    <x v="3"/>
    <x v="2"/>
    <n v="49"/>
    <x v="0"/>
    <x v="0"/>
  </r>
  <r>
    <n v="23479"/>
    <x v="1"/>
    <x v="1"/>
    <n v="90000"/>
    <n v="0"/>
    <x v="1"/>
    <s v="Professional"/>
    <x v="1"/>
    <n v="2"/>
    <x v="0"/>
    <x v="2"/>
    <n v="43"/>
    <x v="0"/>
    <x v="1"/>
  </r>
  <r>
    <n v="16795"/>
    <x v="0"/>
    <x v="0"/>
    <n v="70000"/>
    <n v="4"/>
    <x v="0"/>
    <s v="Management"/>
    <x v="0"/>
    <n v="1"/>
    <x v="3"/>
    <x v="2"/>
    <n v="59"/>
    <x v="1"/>
    <x v="0"/>
  </r>
  <r>
    <n v="22014"/>
    <x v="1"/>
    <x v="1"/>
    <n v="30000"/>
    <n v="0"/>
    <x v="2"/>
    <s v="Skilled Manual"/>
    <x v="0"/>
    <n v="2"/>
    <x v="2"/>
    <x v="2"/>
    <n v="26"/>
    <x v="2"/>
    <x v="0"/>
  </r>
  <r>
    <n v="13314"/>
    <x v="0"/>
    <x v="1"/>
    <n v="120000"/>
    <n v="1"/>
    <x v="2"/>
    <s v="Professional"/>
    <x v="0"/>
    <n v="4"/>
    <x v="2"/>
    <x v="2"/>
    <n v="46"/>
    <x v="0"/>
    <x v="1"/>
  </r>
  <r>
    <n v="11619"/>
    <x v="1"/>
    <x v="0"/>
    <n v="50000"/>
    <n v="0"/>
    <x v="4"/>
    <s v="Skilled Manual"/>
    <x v="0"/>
    <n v="0"/>
    <x v="3"/>
    <x v="2"/>
    <n v="33"/>
    <x v="0"/>
    <x v="0"/>
  </r>
  <r>
    <n v="29132"/>
    <x v="1"/>
    <x v="0"/>
    <n v="40000"/>
    <n v="0"/>
    <x v="0"/>
    <s v="Professional"/>
    <x v="0"/>
    <n v="1"/>
    <x v="1"/>
    <x v="2"/>
    <n v="42"/>
    <x v="0"/>
    <x v="1"/>
  </r>
  <r>
    <n v="11199"/>
    <x v="0"/>
    <x v="0"/>
    <n v="70000"/>
    <n v="4"/>
    <x v="0"/>
    <s v="Management"/>
    <x v="0"/>
    <n v="1"/>
    <x v="4"/>
    <x v="2"/>
    <n v="59"/>
    <x v="1"/>
    <x v="0"/>
  </r>
  <r>
    <n v="20296"/>
    <x v="1"/>
    <x v="0"/>
    <n v="60000"/>
    <n v="0"/>
    <x v="1"/>
    <s v="Skilled Manual"/>
    <x v="1"/>
    <n v="1"/>
    <x v="3"/>
    <x v="2"/>
    <n v="33"/>
    <x v="0"/>
    <x v="1"/>
  </r>
  <r>
    <n v="17546"/>
    <x v="0"/>
    <x v="0"/>
    <n v="70000"/>
    <n v="1"/>
    <x v="1"/>
    <s v="Skilled Manual"/>
    <x v="0"/>
    <n v="1"/>
    <x v="0"/>
    <x v="2"/>
    <n v="44"/>
    <x v="0"/>
    <x v="1"/>
  </r>
  <r>
    <n v="18069"/>
    <x v="0"/>
    <x v="1"/>
    <n v="70000"/>
    <n v="5"/>
    <x v="0"/>
    <s v="Management"/>
    <x v="0"/>
    <n v="4"/>
    <x v="4"/>
    <x v="2"/>
    <n v="60"/>
    <x v="1"/>
    <x v="0"/>
  </r>
  <r>
    <n v="23712"/>
    <x v="1"/>
    <x v="0"/>
    <n v="70000"/>
    <n v="2"/>
    <x v="0"/>
    <s v="Management"/>
    <x v="0"/>
    <n v="1"/>
    <x v="4"/>
    <x v="2"/>
    <n v="59"/>
    <x v="1"/>
    <x v="0"/>
  </r>
  <r>
    <n v="23358"/>
    <x v="0"/>
    <x v="1"/>
    <n v="60000"/>
    <n v="0"/>
    <x v="2"/>
    <s v="Professional"/>
    <x v="0"/>
    <n v="2"/>
    <x v="2"/>
    <x v="2"/>
    <n v="32"/>
    <x v="0"/>
    <x v="1"/>
  </r>
  <r>
    <n v="20518"/>
    <x v="0"/>
    <x v="0"/>
    <n v="70000"/>
    <n v="2"/>
    <x v="1"/>
    <s v="Professional"/>
    <x v="0"/>
    <n v="1"/>
    <x v="4"/>
    <x v="2"/>
    <n v="58"/>
    <x v="1"/>
    <x v="0"/>
  </r>
  <r>
    <n v="28026"/>
    <x v="0"/>
    <x v="0"/>
    <n v="40000"/>
    <n v="2"/>
    <x v="2"/>
    <s v="Professional"/>
    <x v="1"/>
    <n v="2"/>
    <x v="1"/>
    <x v="2"/>
    <n v="59"/>
    <x v="1"/>
    <x v="0"/>
  </r>
  <r>
    <n v="11669"/>
    <x v="1"/>
    <x v="0"/>
    <n v="70000"/>
    <n v="2"/>
    <x v="0"/>
    <s v="Skilled Manual"/>
    <x v="0"/>
    <n v="1"/>
    <x v="1"/>
    <x v="2"/>
    <n v="38"/>
    <x v="0"/>
    <x v="0"/>
  </r>
  <r>
    <n v="16020"/>
    <x v="0"/>
    <x v="1"/>
    <n v="40000"/>
    <n v="0"/>
    <x v="2"/>
    <s v="Skilled Manual"/>
    <x v="0"/>
    <n v="2"/>
    <x v="2"/>
    <x v="2"/>
    <n v="28"/>
    <x v="2"/>
    <x v="1"/>
  </r>
  <r>
    <n v="27090"/>
    <x v="0"/>
    <x v="0"/>
    <n v="60000"/>
    <n v="1"/>
    <x v="4"/>
    <s v="Professional"/>
    <x v="0"/>
    <n v="0"/>
    <x v="1"/>
    <x v="2"/>
    <n v="37"/>
    <x v="0"/>
    <x v="1"/>
  </r>
  <r>
    <n v="27198"/>
    <x v="1"/>
    <x v="0"/>
    <n v="80000"/>
    <n v="0"/>
    <x v="4"/>
    <s v="Skilled Manual"/>
    <x v="1"/>
    <n v="0"/>
    <x v="0"/>
    <x v="2"/>
    <n v="40"/>
    <x v="0"/>
    <x v="0"/>
  </r>
  <r>
    <n v="19661"/>
    <x v="1"/>
    <x v="1"/>
    <n v="90000"/>
    <n v="4"/>
    <x v="0"/>
    <s v="Management"/>
    <x v="0"/>
    <n v="1"/>
    <x v="3"/>
    <x v="2"/>
    <n v="38"/>
    <x v="0"/>
    <x v="1"/>
  </r>
  <r>
    <n v="26327"/>
    <x v="0"/>
    <x v="1"/>
    <n v="70000"/>
    <n v="4"/>
    <x v="4"/>
    <s v="Professional"/>
    <x v="0"/>
    <n v="0"/>
    <x v="1"/>
    <x v="2"/>
    <n v="36"/>
    <x v="0"/>
    <x v="1"/>
  </r>
  <r>
    <n v="26341"/>
    <x v="0"/>
    <x v="0"/>
    <n v="70000"/>
    <n v="5"/>
    <x v="4"/>
    <s v="Professional"/>
    <x v="0"/>
    <n v="2"/>
    <x v="0"/>
    <x v="2"/>
    <n v="37"/>
    <x v="0"/>
    <x v="0"/>
  </r>
  <r>
    <n v="24958"/>
    <x v="1"/>
    <x v="0"/>
    <n v="40000"/>
    <n v="5"/>
    <x v="2"/>
    <s v="Professional"/>
    <x v="1"/>
    <n v="3"/>
    <x v="1"/>
    <x v="2"/>
    <n v="60"/>
    <x v="1"/>
    <x v="1"/>
  </r>
  <r>
    <n v="13287"/>
    <x v="1"/>
    <x v="1"/>
    <n v="110000"/>
    <n v="4"/>
    <x v="0"/>
    <s v="Management"/>
    <x v="0"/>
    <n v="4"/>
    <x v="2"/>
    <x v="2"/>
    <n v="42"/>
    <x v="0"/>
    <x v="1"/>
  </r>
  <r>
    <n v="14493"/>
    <x v="1"/>
    <x v="0"/>
    <n v="70000"/>
    <n v="3"/>
    <x v="4"/>
    <s v="Management"/>
    <x v="1"/>
    <n v="2"/>
    <x v="3"/>
    <x v="2"/>
    <n v="53"/>
    <x v="0"/>
    <x v="0"/>
  </r>
  <r>
    <n v="26678"/>
    <x v="1"/>
    <x v="0"/>
    <n v="80000"/>
    <n v="2"/>
    <x v="3"/>
    <s v="Skilled Manual"/>
    <x v="0"/>
    <n v="2"/>
    <x v="2"/>
    <x v="2"/>
    <n v="49"/>
    <x v="0"/>
    <x v="0"/>
  </r>
  <r>
    <n v="23275"/>
    <x v="0"/>
    <x v="1"/>
    <n v="30000"/>
    <n v="2"/>
    <x v="2"/>
    <s v="Skilled Manual"/>
    <x v="0"/>
    <n v="2"/>
    <x v="3"/>
    <x v="2"/>
    <n v="49"/>
    <x v="0"/>
    <x v="0"/>
  </r>
  <r>
    <n v="11270"/>
    <x v="0"/>
    <x v="1"/>
    <n v="130000"/>
    <n v="2"/>
    <x v="4"/>
    <s v="Management"/>
    <x v="0"/>
    <n v="3"/>
    <x v="0"/>
    <x v="2"/>
    <n v="42"/>
    <x v="0"/>
    <x v="1"/>
  </r>
  <r>
    <n v="20084"/>
    <x v="0"/>
    <x v="1"/>
    <n v="20000"/>
    <n v="2"/>
    <x v="2"/>
    <s v="Manual"/>
    <x v="1"/>
    <n v="2"/>
    <x v="0"/>
    <x v="2"/>
    <n v="53"/>
    <x v="0"/>
    <x v="0"/>
  </r>
  <r>
    <n v="16144"/>
    <x v="0"/>
    <x v="1"/>
    <n v="70000"/>
    <n v="1"/>
    <x v="4"/>
    <s v="Professional"/>
    <x v="0"/>
    <n v="1"/>
    <x v="0"/>
    <x v="2"/>
    <n v="46"/>
    <x v="0"/>
    <x v="1"/>
  </r>
  <r>
    <n v="27731"/>
    <x v="0"/>
    <x v="1"/>
    <n v="40000"/>
    <n v="0"/>
    <x v="2"/>
    <s v="Skilled Manual"/>
    <x v="0"/>
    <n v="2"/>
    <x v="2"/>
    <x v="2"/>
    <n v="27"/>
    <x v="2"/>
    <x v="0"/>
  </r>
  <r>
    <n v="11886"/>
    <x v="0"/>
    <x v="0"/>
    <n v="60000"/>
    <n v="3"/>
    <x v="0"/>
    <s v="Professional"/>
    <x v="0"/>
    <n v="1"/>
    <x v="0"/>
    <x v="2"/>
    <n v="48"/>
    <x v="0"/>
    <x v="1"/>
  </r>
  <r>
    <n v="24324"/>
    <x v="1"/>
    <x v="0"/>
    <n v="60000"/>
    <n v="4"/>
    <x v="0"/>
    <s v="Skilled Manual"/>
    <x v="0"/>
    <n v="2"/>
    <x v="1"/>
    <x v="2"/>
    <n v="41"/>
    <x v="0"/>
    <x v="1"/>
  </r>
  <r>
    <n v="22220"/>
    <x v="0"/>
    <x v="1"/>
    <n v="60000"/>
    <n v="2"/>
    <x v="2"/>
    <s v="Professional"/>
    <x v="1"/>
    <n v="2"/>
    <x v="3"/>
    <x v="2"/>
    <n v="49"/>
    <x v="0"/>
    <x v="1"/>
  </r>
  <r>
    <n v="26625"/>
    <x v="1"/>
    <x v="0"/>
    <n v="60000"/>
    <n v="0"/>
    <x v="4"/>
    <s v="Professional"/>
    <x v="0"/>
    <n v="1"/>
    <x v="1"/>
    <x v="2"/>
    <n v="38"/>
    <x v="0"/>
    <x v="1"/>
  </r>
  <r>
    <n v="23027"/>
    <x v="1"/>
    <x v="1"/>
    <n v="130000"/>
    <n v="1"/>
    <x v="0"/>
    <s v="Management"/>
    <x v="1"/>
    <n v="4"/>
    <x v="0"/>
    <x v="2"/>
    <n v="44"/>
    <x v="0"/>
    <x v="0"/>
  </r>
  <r>
    <n v="16867"/>
    <x v="1"/>
    <x v="0"/>
    <n v="130000"/>
    <n v="1"/>
    <x v="0"/>
    <s v="Management"/>
    <x v="1"/>
    <n v="3"/>
    <x v="0"/>
    <x v="2"/>
    <n v="45"/>
    <x v="0"/>
    <x v="1"/>
  </r>
  <r>
    <n v="14514"/>
    <x v="1"/>
    <x v="0"/>
    <n v="30000"/>
    <n v="0"/>
    <x v="1"/>
    <s v="Skilled Manual"/>
    <x v="0"/>
    <n v="1"/>
    <x v="2"/>
    <x v="2"/>
    <n v="26"/>
    <x v="2"/>
    <x v="0"/>
  </r>
  <r>
    <n v="19634"/>
    <x v="0"/>
    <x v="1"/>
    <n v="40000"/>
    <n v="0"/>
    <x v="2"/>
    <s v="Skilled Manual"/>
    <x v="0"/>
    <n v="1"/>
    <x v="2"/>
    <x v="2"/>
    <n v="31"/>
    <x v="0"/>
    <x v="0"/>
  </r>
  <r>
    <n v="18504"/>
    <x v="0"/>
    <x v="1"/>
    <n v="70000"/>
    <n v="2"/>
    <x v="3"/>
    <s v="Skilled Manual"/>
    <x v="1"/>
    <n v="2"/>
    <x v="3"/>
    <x v="2"/>
    <n v="49"/>
    <x v="0"/>
    <x v="0"/>
  </r>
  <r>
    <n v="28799"/>
    <x v="1"/>
    <x v="0"/>
    <n v="40000"/>
    <n v="2"/>
    <x v="1"/>
    <s v="Clerical"/>
    <x v="1"/>
    <n v="1"/>
    <x v="3"/>
    <x v="2"/>
    <n v="47"/>
    <x v="0"/>
    <x v="1"/>
  </r>
  <r>
    <n v="11225"/>
    <x v="0"/>
    <x v="0"/>
    <n v="60000"/>
    <n v="2"/>
    <x v="1"/>
    <s v="Professional"/>
    <x v="0"/>
    <n v="1"/>
    <x v="4"/>
    <x v="2"/>
    <n v="55"/>
    <x v="1"/>
    <x v="0"/>
  </r>
  <r>
    <n v="17657"/>
    <x v="0"/>
    <x v="1"/>
    <n v="40000"/>
    <n v="4"/>
    <x v="1"/>
    <s v="Clerical"/>
    <x v="1"/>
    <n v="0"/>
    <x v="0"/>
    <x v="2"/>
    <n v="30"/>
    <x v="2"/>
    <x v="0"/>
  </r>
  <r>
    <n v="14913"/>
    <x v="0"/>
    <x v="0"/>
    <n v="40000"/>
    <n v="1"/>
    <x v="1"/>
    <s v="Clerical"/>
    <x v="0"/>
    <n v="1"/>
    <x v="3"/>
    <x v="2"/>
    <n v="48"/>
    <x v="0"/>
    <x v="1"/>
  </r>
  <r>
    <n v="14077"/>
    <x v="1"/>
    <x v="1"/>
    <n v="30000"/>
    <n v="0"/>
    <x v="2"/>
    <s v="Skilled Manual"/>
    <x v="0"/>
    <n v="2"/>
    <x v="2"/>
    <x v="2"/>
    <n v="30"/>
    <x v="2"/>
    <x v="0"/>
  </r>
  <r>
    <n v="13296"/>
    <x v="0"/>
    <x v="1"/>
    <n v="110000"/>
    <n v="1"/>
    <x v="0"/>
    <s v="Management"/>
    <x v="0"/>
    <n v="3"/>
    <x v="2"/>
    <x v="2"/>
    <n v="45"/>
    <x v="0"/>
    <x v="0"/>
  </r>
  <r>
    <n v="20535"/>
    <x v="0"/>
    <x v="0"/>
    <n v="70000"/>
    <n v="4"/>
    <x v="1"/>
    <s v="Professional"/>
    <x v="0"/>
    <n v="1"/>
    <x v="4"/>
    <x v="2"/>
    <n v="56"/>
    <x v="1"/>
    <x v="0"/>
  </r>
  <r>
    <n v="12452"/>
    <x v="0"/>
    <x v="1"/>
    <n v="60000"/>
    <n v="4"/>
    <x v="4"/>
    <s v="Skilled Manual"/>
    <x v="0"/>
    <n v="0"/>
    <x v="3"/>
    <x v="2"/>
    <n v="47"/>
    <x v="0"/>
    <x v="1"/>
  </r>
  <r>
    <n v="28043"/>
    <x v="0"/>
    <x v="0"/>
    <n v="60000"/>
    <n v="2"/>
    <x v="0"/>
    <s v="Management"/>
    <x v="0"/>
    <n v="0"/>
    <x v="4"/>
    <x v="2"/>
    <n v="56"/>
    <x v="1"/>
    <x v="0"/>
  </r>
  <r>
    <n v="12957"/>
    <x v="1"/>
    <x v="0"/>
    <n v="70000"/>
    <n v="1"/>
    <x v="0"/>
    <s v="Professional"/>
    <x v="1"/>
    <n v="1"/>
    <x v="0"/>
    <x v="2"/>
    <n v="44"/>
    <x v="0"/>
    <x v="0"/>
  </r>
  <r>
    <n v="15412"/>
    <x v="0"/>
    <x v="1"/>
    <n v="130000"/>
    <n v="2"/>
    <x v="4"/>
    <s v="Management"/>
    <x v="0"/>
    <n v="3"/>
    <x v="1"/>
    <x v="2"/>
    <n v="69"/>
    <x v="1"/>
    <x v="0"/>
  </r>
  <r>
    <n v="20514"/>
    <x v="0"/>
    <x v="0"/>
    <n v="70000"/>
    <n v="2"/>
    <x v="1"/>
    <s v="Professional"/>
    <x v="0"/>
    <n v="1"/>
    <x v="1"/>
    <x v="2"/>
    <n v="59"/>
    <x v="1"/>
    <x v="0"/>
  </r>
  <r>
    <n v="20758"/>
    <x v="0"/>
    <x v="1"/>
    <n v="30000"/>
    <n v="2"/>
    <x v="2"/>
    <s v="Skilled Manual"/>
    <x v="0"/>
    <n v="2"/>
    <x v="3"/>
    <x v="2"/>
    <n v="50"/>
    <x v="0"/>
    <x v="0"/>
  </r>
  <r>
    <n v="11801"/>
    <x v="0"/>
    <x v="1"/>
    <n v="60000"/>
    <n v="1"/>
    <x v="4"/>
    <s v="Professional"/>
    <x v="0"/>
    <n v="0"/>
    <x v="1"/>
    <x v="2"/>
    <n v="36"/>
    <x v="0"/>
    <x v="0"/>
  </r>
  <r>
    <n v="22211"/>
    <x v="0"/>
    <x v="1"/>
    <n v="60000"/>
    <n v="0"/>
    <x v="1"/>
    <s v="Professional"/>
    <x v="0"/>
    <n v="2"/>
    <x v="2"/>
    <x v="2"/>
    <n v="32"/>
    <x v="0"/>
    <x v="0"/>
  </r>
  <r>
    <n v="28087"/>
    <x v="1"/>
    <x v="0"/>
    <n v="40000"/>
    <n v="0"/>
    <x v="1"/>
    <s v="Skilled Manual"/>
    <x v="1"/>
    <n v="1"/>
    <x v="3"/>
    <x v="2"/>
    <n v="27"/>
    <x v="2"/>
    <x v="0"/>
  </r>
  <r>
    <n v="23668"/>
    <x v="0"/>
    <x v="0"/>
    <n v="40000"/>
    <n v="4"/>
    <x v="2"/>
    <s v="Professional"/>
    <x v="0"/>
    <n v="2"/>
    <x v="2"/>
    <x v="2"/>
    <n v="59"/>
    <x v="1"/>
    <x v="1"/>
  </r>
  <r>
    <n v="27441"/>
    <x v="0"/>
    <x v="1"/>
    <n v="60000"/>
    <n v="3"/>
    <x v="2"/>
    <s v="Professional"/>
    <x v="1"/>
    <n v="2"/>
    <x v="1"/>
    <x v="2"/>
    <n v="53"/>
    <x v="0"/>
    <x v="0"/>
  </r>
  <r>
    <n v="27261"/>
    <x v="0"/>
    <x v="1"/>
    <n v="40000"/>
    <n v="1"/>
    <x v="0"/>
    <s v="Skilled Manual"/>
    <x v="1"/>
    <n v="1"/>
    <x v="0"/>
    <x v="2"/>
    <n v="36"/>
    <x v="0"/>
    <x v="1"/>
  </r>
  <r>
    <n v="18649"/>
    <x v="1"/>
    <x v="1"/>
    <n v="30000"/>
    <n v="1"/>
    <x v="2"/>
    <s v="Clerical"/>
    <x v="0"/>
    <n v="2"/>
    <x v="3"/>
    <x v="2"/>
    <n v="51"/>
    <x v="0"/>
    <x v="1"/>
  </r>
  <r>
    <n v="21714"/>
    <x v="1"/>
    <x v="0"/>
    <n v="80000"/>
    <n v="5"/>
    <x v="4"/>
    <s v="Skilled Manual"/>
    <x v="1"/>
    <n v="0"/>
    <x v="0"/>
    <x v="2"/>
    <n v="47"/>
    <x v="0"/>
    <x v="0"/>
  </r>
  <r>
    <n v="23217"/>
    <x v="1"/>
    <x v="0"/>
    <n v="60000"/>
    <n v="3"/>
    <x v="4"/>
    <s v="Professional"/>
    <x v="0"/>
    <n v="0"/>
    <x v="1"/>
    <x v="2"/>
    <n v="43"/>
    <x v="0"/>
    <x v="1"/>
  </r>
  <r>
    <n v="23797"/>
    <x v="1"/>
    <x v="1"/>
    <n v="20000"/>
    <n v="3"/>
    <x v="3"/>
    <s v="Clerical"/>
    <x v="1"/>
    <n v="2"/>
    <x v="0"/>
    <x v="2"/>
    <n v="50"/>
    <x v="0"/>
    <x v="0"/>
  </r>
  <r>
    <n v="13216"/>
    <x v="0"/>
    <x v="0"/>
    <n v="60000"/>
    <n v="5"/>
    <x v="0"/>
    <s v="Management"/>
    <x v="0"/>
    <n v="3"/>
    <x v="4"/>
    <x v="2"/>
    <n v="59"/>
    <x v="1"/>
    <x v="0"/>
  </r>
  <r>
    <n v="20657"/>
    <x v="1"/>
    <x v="1"/>
    <n v="50000"/>
    <n v="2"/>
    <x v="0"/>
    <s v="Skilled Manual"/>
    <x v="0"/>
    <n v="0"/>
    <x v="1"/>
    <x v="2"/>
    <n v="37"/>
    <x v="0"/>
    <x v="1"/>
  </r>
  <r>
    <n v="12882"/>
    <x v="0"/>
    <x v="1"/>
    <n v="50000"/>
    <n v="1"/>
    <x v="4"/>
    <s v="Skilled Manual"/>
    <x v="0"/>
    <n v="0"/>
    <x v="0"/>
    <x v="2"/>
    <n v="33"/>
    <x v="0"/>
    <x v="1"/>
  </r>
  <r>
    <n v="25908"/>
    <x v="0"/>
    <x v="0"/>
    <n v="60000"/>
    <n v="0"/>
    <x v="1"/>
    <s v="Skilled Manual"/>
    <x v="1"/>
    <n v="1"/>
    <x v="3"/>
    <x v="2"/>
    <n v="27"/>
    <x v="2"/>
    <x v="0"/>
  </r>
  <r>
    <n v="16753"/>
    <x v="1"/>
    <x v="0"/>
    <n v="70000"/>
    <n v="0"/>
    <x v="1"/>
    <s v="Skilled Manual"/>
    <x v="0"/>
    <n v="2"/>
    <x v="2"/>
    <x v="2"/>
    <n v="34"/>
    <x v="0"/>
    <x v="1"/>
  </r>
  <r>
    <n v="14608"/>
    <x v="0"/>
    <x v="1"/>
    <n v="50000"/>
    <n v="4"/>
    <x v="0"/>
    <s v="Skilled Manual"/>
    <x v="0"/>
    <n v="3"/>
    <x v="4"/>
    <x v="2"/>
    <n v="42"/>
    <x v="0"/>
    <x v="0"/>
  </r>
  <r>
    <n v="24979"/>
    <x v="0"/>
    <x v="0"/>
    <n v="60000"/>
    <n v="2"/>
    <x v="1"/>
    <s v="Professional"/>
    <x v="0"/>
    <n v="2"/>
    <x v="1"/>
    <x v="2"/>
    <n v="57"/>
    <x v="1"/>
    <x v="1"/>
  </r>
  <r>
    <n v="13313"/>
    <x v="0"/>
    <x v="0"/>
    <n v="120000"/>
    <n v="1"/>
    <x v="2"/>
    <s v="Professional"/>
    <x v="1"/>
    <n v="4"/>
    <x v="1"/>
    <x v="2"/>
    <n v="45"/>
    <x v="0"/>
    <x v="0"/>
  </r>
  <r>
    <n v="18952"/>
    <x v="0"/>
    <x v="0"/>
    <n v="100000"/>
    <n v="4"/>
    <x v="0"/>
    <s v="Management"/>
    <x v="0"/>
    <n v="4"/>
    <x v="0"/>
    <x v="2"/>
    <n v="40"/>
    <x v="0"/>
    <x v="0"/>
  </r>
  <r>
    <n v="17699"/>
    <x v="0"/>
    <x v="1"/>
    <n v="60000"/>
    <n v="1"/>
    <x v="4"/>
    <s v="Skilled Manual"/>
    <x v="1"/>
    <n v="0"/>
    <x v="0"/>
    <x v="2"/>
    <n v="55"/>
    <x v="1"/>
    <x v="0"/>
  </r>
  <r>
    <n v="14657"/>
    <x v="0"/>
    <x v="1"/>
    <n v="80000"/>
    <n v="1"/>
    <x v="1"/>
    <s v="Skilled Manual"/>
    <x v="1"/>
    <n v="1"/>
    <x v="0"/>
    <x v="2"/>
    <n v="47"/>
    <x v="0"/>
    <x v="1"/>
  </r>
  <r>
    <n v="11540"/>
    <x v="1"/>
    <x v="1"/>
    <n v="60000"/>
    <n v="4"/>
    <x v="4"/>
    <s v="Skilled Manual"/>
    <x v="0"/>
    <n v="0"/>
    <x v="3"/>
    <x v="2"/>
    <n v="47"/>
    <x v="0"/>
    <x v="1"/>
  </r>
  <r>
    <n v="11783"/>
    <x v="0"/>
    <x v="0"/>
    <n v="60000"/>
    <n v="1"/>
    <x v="4"/>
    <s v="Skilled Manual"/>
    <x v="0"/>
    <n v="0"/>
    <x v="0"/>
    <x v="2"/>
    <n v="34"/>
    <x v="0"/>
    <x v="0"/>
  </r>
  <r>
    <n v="14602"/>
    <x v="0"/>
    <x v="0"/>
    <n v="80000"/>
    <n v="3"/>
    <x v="4"/>
    <s v="Professional"/>
    <x v="0"/>
    <n v="0"/>
    <x v="0"/>
    <x v="2"/>
    <n v="36"/>
    <x v="0"/>
    <x v="1"/>
  </r>
  <r>
    <n v="29030"/>
    <x v="0"/>
    <x v="1"/>
    <n v="70000"/>
    <n v="2"/>
    <x v="3"/>
    <s v="Skilled Manual"/>
    <x v="0"/>
    <n v="2"/>
    <x v="4"/>
    <x v="2"/>
    <n v="54"/>
    <x v="0"/>
    <x v="0"/>
  </r>
  <r>
    <n v="26490"/>
    <x v="1"/>
    <x v="1"/>
    <n v="70000"/>
    <n v="2"/>
    <x v="0"/>
    <s v="Management"/>
    <x v="1"/>
    <n v="1"/>
    <x v="1"/>
    <x v="2"/>
    <n v="59"/>
    <x v="1"/>
    <x v="1"/>
  </r>
  <r>
    <n v="13151"/>
    <x v="1"/>
    <x v="1"/>
    <n v="40000"/>
    <n v="0"/>
    <x v="2"/>
    <s v="Skilled Manual"/>
    <x v="0"/>
    <n v="2"/>
    <x v="2"/>
    <x v="2"/>
    <n v="27"/>
    <x v="2"/>
    <x v="0"/>
  </r>
  <r>
    <n v="17260"/>
    <x v="0"/>
    <x v="1"/>
    <n v="90000"/>
    <n v="5"/>
    <x v="1"/>
    <s v="Professional"/>
    <x v="0"/>
    <n v="3"/>
    <x v="0"/>
    <x v="2"/>
    <n v="41"/>
    <x v="0"/>
    <x v="0"/>
  </r>
  <r>
    <n v="15372"/>
    <x v="0"/>
    <x v="1"/>
    <n v="80000"/>
    <n v="3"/>
    <x v="1"/>
    <s v="Professional"/>
    <x v="1"/>
    <n v="2"/>
    <x v="1"/>
    <x v="2"/>
    <n v="50"/>
    <x v="0"/>
    <x v="1"/>
  </r>
  <r>
    <n v="18105"/>
    <x v="0"/>
    <x v="0"/>
    <n v="60000"/>
    <n v="2"/>
    <x v="1"/>
    <s v="Professional"/>
    <x v="0"/>
    <n v="1"/>
    <x v="4"/>
    <x v="2"/>
    <n v="55"/>
    <x v="1"/>
    <x v="0"/>
  </r>
  <r>
    <n v="19660"/>
    <x v="0"/>
    <x v="1"/>
    <n v="80000"/>
    <n v="4"/>
    <x v="0"/>
    <s v="Management"/>
    <x v="0"/>
    <n v="0"/>
    <x v="0"/>
    <x v="2"/>
    <n v="43"/>
    <x v="0"/>
    <x v="0"/>
  </r>
  <r>
    <n v="16112"/>
    <x v="1"/>
    <x v="1"/>
    <n v="70000"/>
    <n v="4"/>
    <x v="0"/>
    <s v="Professional"/>
    <x v="0"/>
    <n v="2"/>
    <x v="1"/>
    <x v="2"/>
    <n v="43"/>
    <x v="0"/>
    <x v="1"/>
  </r>
  <r>
    <n v="20698"/>
    <x v="0"/>
    <x v="1"/>
    <n v="60000"/>
    <n v="4"/>
    <x v="0"/>
    <s v="Skilled Manual"/>
    <x v="0"/>
    <n v="3"/>
    <x v="2"/>
    <x v="2"/>
    <n v="42"/>
    <x v="0"/>
    <x v="0"/>
  </r>
  <r>
    <n v="20076"/>
    <x v="1"/>
    <x v="0"/>
    <n v="10000"/>
    <n v="2"/>
    <x v="2"/>
    <s v="Manual"/>
    <x v="0"/>
    <n v="2"/>
    <x v="3"/>
    <x v="2"/>
    <n v="53"/>
    <x v="0"/>
    <x v="1"/>
  </r>
  <r>
    <n v="24496"/>
    <x v="1"/>
    <x v="0"/>
    <n v="40000"/>
    <n v="0"/>
    <x v="2"/>
    <s v="Skilled Manual"/>
    <x v="1"/>
    <n v="2"/>
    <x v="0"/>
    <x v="2"/>
    <n v="28"/>
    <x v="2"/>
    <x v="1"/>
  </r>
  <r>
    <n v="15468"/>
    <x v="0"/>
    <x v="0"/>
    <n v="50000"/>
    <n v="1"/>
    <x v="0"/>
    <s v="Skilled Manual"/>
    <x v="0"/>
    <n v="1"/>
    <x v="0"/>
    <x v="2"/>
    <n v="35"/>
    <x v="0"/>
    <x v="0"/>
  </r>
  <r>
    <n v="28031"/>
    <x v="1"/>
    <x v="0"/>
    <n v="70000"/>
    <n v="2"/>
    <x v="0"/>
    <s v="Management"/>
    <x v="1"/>
    <n v="1"/>
    <x v="1"/>
    <x v="2"/>
    <n v="59"/>
    <x v="1"/>
    <x v="1"/>
  </r>
  <r>
    <n v="26270"/>
    <x v="1"/>
    <x v="0"/>
    <n v="20000"/>
    <n v="2"/>
    <x v="3"/>
    <s v="Clerical"/>
    <x v="0"/>
    <n v="2"/>
    <x v="3"/>
    <x v="2"/>
    <n v="49"/>
    <x v="0"/>
    <x v="0"/>
  </r>
  <r>
    <n v="22221"/>
    <x v="0"/>
    <x v="1"/>
    <n v="60000"/>
    <n v="2"/>
    <x v="2"/>
    <s v="Professional"/>
    <x v="1"/>
    <n v="2"/>
    <x v="3"/>
    <x v="2"/>
    <n v="48"/>
    <x v="0"/>
    <x v="1"/>
  </r>
  <r>
    <n v="28228"/>
    <x v="1"/>
    <x v="0"/>
    <n v="80000"/>
    <n v="2"/>
    <x v="3"/>
    <s v="Skilled Manual"/>
    <x v="1"/>
    <n v="2"/>
    <x v="3"/>
    <x v="2"/>
    <n v="50"/>
    <x v="0"/>
    <x v="0"/>
  </r>
  <r>
    <n v="18363"/>
    <x v="0"/>
    <x v="1"/>
    <n v="40000"/>
    <n v="0"/>
    <x v="2"/>
    <s v="Skilled Manual"/>
    <x v="0"/>
    <n v="2"/>
    <x v="2"/>
    <x v="2"/>
    <n v="28"/>
    <x v="2"/>
    <x v="1"/>
  </r>
  <r>
    <n v="23256"/>
    <x v="1"/>
    <x v="1"/>
    <n v="30000"/>
    <n v="1"/>
    <x v="2"/>
    <s v="Clerical"/>
    <x v="1"/>
    <n v="1"/>
    <x v="2"/>
    <x v="2"/>
    <n v="52"/>
    <x v="0"/>
    <x v="0"/>
  </r>
  <r>
    <n v="12768"/>
    <x v="0"/>
    <x v="1"/>
    <n v="30000"/>
    <n v="1"/>
    <x v="2"/>
    <s v="Clerical"/>
    <x v="0"/>
    <n v="1"/>
    <x v="1"/>
    <x v="2"/>
    <n v="52"/>
    <x v="0"/>
    <x v="1"/>
  </r>
  <r>
    <n v="20361"/>
    <x v="0"/>
    <x v="1"/>
    <n v="50000"/>
    <n v="2"/>
    <x v="4"/>
    <s v="Management"/>
    <x v="0"/>
    <n v="2"/>
    <x v="2"/>
    <x v="2"/>
    <n v="69"/>
    <x v="1"/>
    <x v="0"/>
  </r>
  <r>
    <n v="21306"/>
    <x v="1"/>
    <x v="1"/>
    <n v="60000"/>
    <n v="2"/>
    <x v="2"/>
    <s v="Professional"/>
    <x v="0"/>
    <n v="2"/>
    <x v="2"/>
    <x v="2"/>
    <n v="51"/>
    <x v="0"/>
    <x v="0"/>
  </r>
  <r>
    <n v="13382"/>
    <x v="0"/>
    <x v="1"/>
    <n v="70000"/>
    <n v="5"/>
    <x v="1"/>
    <s v="Professional"/>
    <x v="0"/>
    <n v="2"/>
    <x v="3"/>
    <x v="2"/>
    <n v="57"/>
    <x v="1"/>
    <x v="1"/>
  </r>
  <r>
    <n v="20310"/>
    <x v="1"/>
    <x v="1"/>
    <n v="60000"/>
    <n v="0"/>
    <x v="1"/>
    <s v="Skilled Manual"/>
    <x v="0"/>
    <n v="1"/>
    <x v="2"/>
    <x v="2"/>
    <n v="27"/>
    <x v="2"/>
    <x v="1"/>
  </r>
  <r>
    <n v="22971"/>
    <x v="1"/>
    <x v="0"/>
    <n v="30000"/>
    <n v="0"/>
    <x v="2"/>
    <s v="Skilled Manual"/>
    <x v="1"/>
    <n v="2"/>
    <x v="0"/>
    <x v="2"/>
    <n v="25"/>
    <x v="2"/>
    <x v="1"/>
  </r>
  <r>
    <n v="15287"/>
    <x v="1"/>
    <x v="0"/>
    <n v="50000"/>
    <n v="1"/>
    <x v="4"/>
    <s v="Skilled Manual"/>
    <x v="0"/>
    <n v="0"/>
    <x v="3"/>
    <x v="2"/>
    <n v="33"/>
    <x v="0"/>
    <x v="1"/>
  </r>
  <r>
    <n v="15532"/>
    <x v="1"/>
    <x v="1"/>
    <n v="60000"/>
    <n v="4"/>
    <x v="0"/>
    <s v="Professional"/>
    <x v="0"/>
    <n v="2"/>
    <x v="1"/>
    <x v="2"/>
    <n v="43"/>
    <x v="0"/>
    <x v="1"/>
  </r>
  <r>
    <n v="11255"/>
    <x v="0"/>
    <x v="1"/>
    <n v="70000"/>
    <n v="4"/>
    <x v="4"/>
    <s v="Management"/>
    <x v="0"/>
    <n v="2"/>
    <x v="2"/>
    <x v="2"/>
    <n v="73"/>
    <x v="1"/>
    <x v="0"/>
  </r>
  <r>
    <n v="28090"/>
    <x v="0"/>
    <x v="1"/>
    <n v="40000"/>
    <n v="0"/>
    <x v="1"/>
    <s v="Skilled Manual"/>
    <x v="0"/>
    <n v="1"/>
    <x v="2"/>
    <x v="2"/>
    <n v="27"/>
    <x v="2"/>
    <x v="0"/>
  </r>
  <r>
    <n v="15255"/>
    <x v="0"/>
    <x v="1"/>
    <n v="40000"/>
    <n v="0"/>
    <x v="2"/>
    <s v="Skilled Manual"/>
    <x v="0"/>
    <n v="2"/>
    <x v="2"/>
    <x v="2"/>
    <n v="28"/>
    <x v="2"/>
    <x v="1"/>
  </r>
  <r>
    <n v="13154"/>
    <x v="0"/>
    <x v="1"/>
    <n v="40000"/>
    <n v="0"/>
    <x v="2"/>
    <s v="Skilled Manual"/>
    <x v="1"/>
    <n v="2"/>
    <x v="0"/>
    <x v="2"/>
    <n v="27"/>
    <x v="2"/>
    <x v="1"/>
  </r>
  <r>
    <n v="26778"/>
    <x v="1"/>
    <x v="0"/>
    <n v="40000"/>
    <n v="0"/>
    <x v="2"/>
    <s v="Skilled Manual"/>
    <x v="0"/>
    <n v="2"/>
    <x v="2"/>
    <x v="2"/>
    <n v="31"/>
    <x v="0"/>
    <x v="0"/>
  </r>
  <r>
    <n v="23248"/>
    <x v="0"/>
    <x v="0"/>
    <n v="10000"/>
    <n v="2"/>
    <x v="2"/>
    <s v="Manual"/>
    <x v="0"/>
    <n v="2"/>
    <x v="3"/>
    <x v="2"/>
    <n v="53"/>
    <x v="0"/>
    <x v="0"/>
  </r>
  <r>
    <n v="21417"/>
    <x v="1"/>
    <x v="0"/>
    <n v="60000"/>
    <n v="0"/>
    <x v="1"/>
    <s v="Professional"/>
    <x v="1"/>
    <n v="2"/>
    <x v="3"/>
    <x v="2"/>
    <n v="32"/>
    <x v="0"/>
    <x v="1"/>
  </r>
  <r>
    <n v="17668"/>
    <x v="1"/>
    <x v="1"/>
    <n v="30000"/>
    <n v="2"/>
    <x v="2"/>
    <s v="Skilled Manual"/>
    <x v="0"/>
    <n v="2"/>
    <x v="3"/>
    <x v="2"/>
    <n v="50"/>
    <x v="0"/>
    <x v="1"/>
  </r>
  <r>
    <n v="27994"/>
    <x v="0"/>
    <x v="0"/>
    <n v="40000"/>
    <n v="4"/>
    <x v="2"/>
    <s v="Professional"/>
    <x v="0"/>
    <n v="2"/>
    <x v="2"/>
    <x v="2"/>
    <n v="69"/>
    <x v="1"/>
    <x v="0"/>
  </r>
  <r>
    <n v="20376"/>
    <x v="1"/>
    <x v="0"/>
    <n v="70000"/>
    <n v="3"/>
    <x v="4"/>
    <s v="Management"/>
    <x v="0"/>
    <n v="2"/>
    <x v="2"/>
    <x v="2"/>
    <n v="52"/>
    <x v="0"/>
    <x v="1"/>
  </r>
  <r>
    <n v="25954"/>
    <x v="0"/>
    <x v="1"/>
    <n v="60000"/>
    <n v="0"/>
    <x v="1"/>
    <s v="Skilled Manual"/>
    <x v="1"/>
    <n v="2"/>
    <x v="3"/>
    <x v="2"/>
    <n v="31"/>
    <x v="0"/>
    <x v="0"/>
  </r>
  <r>
    <n v="15749"/>
    <x v="1"/>
    <x v="0"/>
    <n v="70000"/>
    <n v="4"/>
    <x v="0"/>
    <s v="Management"/>
    <x v="0"/>
    <n v="2"/>
    <x v="4"/>
    <x v="2"/>
    <n v="61"/>
    <x v="1"/>
    <x v="0"/>
  </r>
  <r>
    <n v="25899"/>
    <x v="0"/>
    <x v="0"/>
    <n v="70000"/>
    <n v="2"/>
    <x v="2"/>
    <s v="Professional"/>
    <x v="0"/>
    <n v="2"/>
    <x v="4"/>
    <x v="2"/>
    <n v="53"/>
    <x v="0"/>
    <x v="0"/>
  </r>
  <r>
    <n v="13351"/>
    <x v="1"/>
    <x v="0"/>
    <n v="70000"/>
    <n v="4"/>
    <x v="0"/>
    <s v="Management"/>
    <x v="0"/>
    <n v="2"/>
    <x v="3"/>
    <x v="2"/>
    <n v="62"/>
    <x v="1"/>
    <x v="1"/>
  </r>
  <r>
    <n v="23333"/>
    <x v="0"/>
    <x v="1"/>
    <n v="40000"/>
    <n v="0"/>
    <x v="1"/>
    <s v="Skilled Manual"/>
    <x v="1"/>
    <n v="2"/>
    <x v="3"/>
    <x v="2"/>
    <n v="30"/>
    <x v="2"/>
    <x v="0"/>
  </r>
  <r>
    <n v="21660"/>
    <x v="0"/>
    <x v="0"/>
    <n v="60000"/>
    <n v="3"/>
    <x v="4"/>
    <s v="Professional"/>
    <x v="0"/>
    <n v="0"/>
    <x v="1"/>
    <x v="2"/>
    <n v="43"/>
    <x v="0"/>
    <x v="1"/>
  </r>
  <r>
    <n v="17012"/>
    <x v="0"/>
    <x v="0"/>
    <n v="60000"/>
    <n v="3"/>
    <x v="4"/>
    <s v="Professional"/>
    <x v="0"/>
    <n v="0"/>
    <x v="1"/>
    <x v="2"/>
    <n v="42"/>
    <x v="0"/>
    <x v="1"/>
  </r>
  <r>
    <n v="24514"/>
    <x v="0"/>
    <x v="1"/>
    <n v="40000"/>
    <n v="0"/>
    <x v="1"/>
    <s v="Skilled Manual"/>
    <x v="0"/>
    <n v="1"/>
    <x v="2"/>
    <x v="2"/>
    <n v="30"/>
    <x v="2"/>
    <x v="0"/>
  </r>
  <r>
    <n v="27505"/>
    <x v="1"/>
    <x v="0"/>
    <n v="40000"/>
    <n v="0"/>
    <x v="2"/>
    <s v="Skilled Manual"/>
    <x v="0"/>
    <n v="2"/>
    <x v="2"/>
    <x v="2"/>
    <n v="30"/>
    <x v="2"/>
    <x v="0"/>
  </r>
  <r>
    <n v="29243"/>
    <x v="1"/>
    <x v="1"/>
    <n v="110000"/>
    <n v="1"/>
    <x v="0"/>
    <s v="Management"/>
    <x v="0"/>
    <n v="1"/>
    <x v="2"/>
    <x v="2"/>
    <n v="43"/>
    <x v="0"/>
    <x v="0"/>
  </r>
  <r>
    <n v="26582"/>
    <x v="0"/>
    <x v="1"/>
    <n v="60000"/>
    <n v="0"/>
    <x v="1"/>
    <s v="Skilled Manual"/>
    <x v="0"/>
    <n v="2"/>
    <x v="2"/>
    <x v="2"/>
    <n v="33"/>
    <x v="0"/>
    <x v="1"/>
  </r>
  <r>
    <n v="14271"/>
    <x v="0"/>
    <x v="1"/>
    <n v="30000"/>
    <n v="0"/>
    <x v="2"/>
    <s v="Skilled Manual"/>
    <x v="0"/>
    <n v="2"/>
    <x v="2"/>
    <x v="2"/>
    <n v="32"/>
    <x v="0"/>
    <x v="0"/>
  </r>
  <r>
    <n v="23041"/>
    <x v="1"/>
    <x v="0"/>
    <n v="70000"/>
    <n v="4"/>
    <x v="2"/>
    <s v="Professional"/>
    <x v="0"/>
    <n v="0"/>
    <x v="2"/>
    <x v="2"/>
    <n v="50"/>
    <x v="0"/>
    <x v="1"/>
  </r>
  <r>
    <n v="29048"/>
    <x v="1"/>
    <x v="1"/>
    <n v="110000"/>
    <n v="2"/>
    <x v="0"/>
    <s v="Management"/>
    <x v="1"/>
    <n v="3"/>
    <x v="0"/>
    <x v="2"/>
    <n v="37"/>
    <x v="0"/>
    <x v="1"/>
  </r>
  <r>
    <n v="24433"/>
    <x v="0"/>
    <x v="1"/>
    <n v="70000"/>
    <n v="3"/>
    <x v="2"/>
    <s v="Professional"/>
    <x v="1"/>
    <n v="1"/>
    <x v="3"/>
    <x v="2"/>
    <n v="52"/>
    <x v="0"/>
    <x v="1"/>
  </r>
  <r>
    <n v="15501"/>
    <x v="0"/>
    <x v="1"/>
    <n v="70000"/>
    <n v="4"/>
    <x v="4"/>
    <s v="Professional"/>
    <x v="0"/>
    <n v="0"/>
    <x v="1"/>
    <x v="2"/>
    <n v="36"/>
    <x v="0"/>
    <x v="1"/>
  </r>
  <r>
    <n v="13911"/>
    <x v="1"/>
    <x v="0"/>
    <n v="80000"/>
    <n v="3"/>
    <x v="0"/>
    <s v="Skilled Manual"/>
    <x v="0"/>
    <n v="2"/>
    <x v="1"/>
    <x v="2"/>
    <n v="41"/>
    <x v="0"/>
    <x v="1"/>
  </r>
  <r>
    <n v="20421"/>
    <x v="1"/>
    <x v="0"/>
    <n v="40000"/>
    <n v="0"/>
    <x v="3"/>
    <s v="Clerical"/>
    <x v="0"/>
    <n v="2"/>
    <x v="2"/>
    <x v="2"/>
    <n v="26"/>
    <x v="2"/>
    <x v="0"/>
  </r>
  <r>
    <n v="16009"/>
    <x v="1"/>
    <x v="1"/>
    <n v="170000"/>
    <n v="1"/>
    <x v="4"/>
    <s v="Management"/>
    <x v="1"/>
    <n v="4"/>
    <x v="0"/>
    <x v="2"/>
    <n v="66"/>
    <x v="1"/>
    <x v="0"/>
  </r>
  <r>
    <n v="18411"/>
    <x v="0"/>
    <x v="1"/>
    <n v="60000"/>
    <n v="2"/>
    <x v="2"/>
    <s v="Professional"/>
    <x v="1"/>
    <n v="2"/>
    <x v="2"/>
    <x v="2"/>
    <n v="51"/>
    <x v="0"/>
    <x v="0"/>
  </r>
  <r>
    <n v="19163"/>
    <x v="0"/>
    <x v="0"/>
    <n v="70000"/>
    <n v="4"/>
    <x v="0"/>
    <s v="Professional"/>
    <x v="0"/>
    <n v="2"/>
    <x v="0"/>
    <x v="2"/>
    <n v="43"/>
    <x v="0"/>
    <x v="1"/>
  </r>
  <r>
    <n v="18572"/>
    <x v="0"/>
    <x v="0"/>
    <n v="60000"/>
    <n v="0"/>
    <x v="4"/>
    <s v="Professional"/>
    <x v="0"/>
    <n v="0"/>
    <x v="0"/>
    <x v="2"/>
    <n v="39"/>
    <x v="0"/>
    <x v="0"/>
  </r>
  <r>
    <n v="27540"/>
    <x v="1"/>
    <x v="0"/>
    <n v="70000"/>
    <n v="0"/>
    <x v="0"/>
    <s v="Professional"/>
    <x v="1"/>
    <n v="1"/>
    <x v="0"/>
    <x v="2"/>
    <n v="37"/>
    <x v="0"/>
    <x v="1"/>
  </r>
  <r>
    <n v="19889"/>
    <x v="1"/>
    <x v="0"/>
    <n v="70000"/>
    <n v="2"/>
    <x v="3"/>
    <s v="Skilled Manual"/>
    <x v="1"/>
    <n v="2"/>
    <x v="1"/>
    <x v="2"/>
    <n v="54"/>
    <x v="0"/>
    <x v="1"/>
  </r>
  <r>
    <n v="12922"/>
    <x v="1"/>
    <x v="0"/>
    <n v="60000"/>
    <n v="3"/>
    <x v="0"/>
    <s v="Skilled Manual"/>
    <x v="0"/>
    <n v="0"/>
    <x v="1"/>
    <x v="2"/>
    <n v="40"/>
    <x v="0"/>
    <x v="1"/>
  </r>
  <r>
    <n v="18891"/>
    <x v="0"/>
    <x v="0"/>
    <n v="40000"/>
    <n v="0"/>
    <x v="1"/>
    <s v="Skilled Manual"/>
    <x v="0"/>
    <n v="2"/>
    <x v="2"/>
    <x v="2"/>
    <n v="28"/>
    <x v="2"/>
    <x v="0"/>
  </r>
  <r>
    <n v="16773"/>
    <x v="0"/>
    <x v="1"/>
    <n v="60000"/>
    <n v="1"/>
    <x v="4"/>
    <s v="Skilled Manual"/>
    <x v="0"/>
    <n v="0"/>
    <x v="0"/>
    <x v="2"/>
    <n v="33"/>
    <x v="0"/>
    <x v="0"/>
  </r>
  <r>
    <n v="19143"/>
    <x v="1"/>
    <x v="0"/>
    <n v="80000"/>
    <n v="3"/>
    <x v="0"/>
    <s v="Skilled Manual"/>
    <x v="0"/>
    <n v="2"/>
    <x v="1"/>
    <x v="2"/>
    <n v="41"/>
    <x v="0"/>
    <x v="1"/>
  </r>
  <r>
    <n v="23882"/>
    <x v="1"/>
    <x v="0"/>
    <n v="80000"/>
    <n v="3"/>
    <x v="4"/>
    <s v="Professional"/>
    <x v="0"/>
    <n v="0"/>
    <x v="0"/>
    <x v="2"/>
    <n v="37"/>
    <x v="0"/>
    <x v="1"/>
  </r>
  <r>
    <n v="11233"/>
    <x v="0"/>
    <x v="1"/>
    <n v="70000"/>
    <n v="4"/>
    <x v="1"/>
    <s v="Professional"/>
    <x v="0"/>
    <n v="2"/>
    <x v="4"/>
    <x v="2"/>
    <n v="53"/>
    <x v="0"/>
    <x v="0"/>
  </r>
  <r>
    <n v="12056"/>
    <x v="0"/>
    <x v="1"/>
    <n v="120000"/>
    <n v="2"/>
    <x v="4"/>
    <s v="Management"/>
    <x v="0"/>
    <n v="3"/>
    <x v="2"/>
    <x v="2"/>
    <n v="64"/>
    <x v="1"/>
    <x v="0"/>
  </r>
  <r>
    <n v="15555"/>
    <x v="0"/>
    <x v="0"/>
    <n v="60000"/>
    <n v="1"/>
    <x v="1"/>
    <s v="Skilled Manual"/>
    <x v="0"/>
    <n v="1"/>
    <x v="1"/>
    <x v="2"/>
    <n v="45"/>
    <x v="0"/>
    <x v="1"/>
  </r>
  <r>
    <n v="18423"/>
    <x v="1"/>
    <x v="1"/>
    <n v="80000"/>
    <n v="2"/>
    <x v="3"/>
    <s v="Skilled Manual"/>
    <x v="1"/>
    <n v="2"/>
    <x v="3"/>
    <x v="2"/>
    <n v="52"/>
    <x v="0"/>
    <x v="0"/>
  </r>
  <r>
    <n v="22743"/>
    <x v="0"/>
    <x v="0"/>
    <n v="40000"/>
    <n v="5"/>
    <x v="2"/>
    <s v="Professional"/>
    <x v="0"/>
    <n v="2"/>
    <x v="4"/>
    <x v="2"/>
    <n v="60"/>
    <x v="1"/>
    <x v="0"/>
  </r>
  <r>
    <n v="25343"/>
    <x v="1"/>
    <x v="0"/>
    <n v="20000"/>
    <n v="3"/>
    <x v="3"/>
    <s v="Clerical"/>
    <x v="0"/>
    <n v="2"/>
    <x v="3"/>
    <x v="2"/>
    <n v="50"/>
    <x v="0"/>
    <x v="0"/>
  </r>
  <r>
    <n v="13390"/>
    <x v="0"/>
    <x v="0"/>
    <n v="70000"/>
    <n v="4"/>
    <x v="1"/>
    <s v="Professional"/>
    <x v="1"/>
    <n v="1"/>
    <x v="3"/>
    <x v="2"/>
    <n v="56"/>
    <x v="1"/>
    <x v="0"/>
  </r>
  <r>
    <n v="17482"/>
    <x v="1"/>
    <x v="0"/>
    <n v="40000"/>
    <n v="0"/>
    <x v="3"/>
    <s v="Clerical"/>
    <x v="0"/>
    <n v="2"/>
    <x v="2"/>
    <x v="2"/>
    <n v="29"/>
    <x v="2"/>
    <x v="0"/>
  </r>
  <r>
    <n v="13176"/>
    <x v="1"/>
    <x v="1"/>
    <n v="130000"/>
    <n v="0"/>
    <x v="4"/>
    <s v="Management"/>
    <x v="1"/>
    <n v="2"/>
    <x v="0"/>
    <x v="2"/>
    <n v="38"/>
    <x v="0"/>
    <x v="1"/>
  </r>
  <r>
    <n v="20504"/>
    <x v="0"/>
    <x v="0"/>
    <n v="40000"/>
    <n v="5"/>
    <x v="2"/>
    <s v="Professional"/>
    <x v="1"/>
    <n v="2"/>
    <x v="1"/>
    <x v="2"/>
    <n v="60"/>
    <x v="1"/>
    <x v="0"/>
  </r>
  <r>
    <n v="12205"/>
    <x v="1"/>
    <x v="0"/>
    <n v="130000"/>
    <n v="2"/>
    <x v="0"/>
    <s v="Management"/>
    <x v="1"/>
    <n v="4"/>
    <x v="0"/>
    <x v="2"/>
    <n v="67"/>
    <x v="1"/>
    <x v="0"/>
  </r>
  <r>
    <n v="16751"/>
    <x v="0"/>
    <x v="1"/>
    <n v="60000"/>
    <n v="0"/>
    <x v="1"/>
    <s v="Skilled Manual"/>
    <x v="0"/>
    <n v="1"/>
    <x v="2"/>
    <x v="2"/>
    <n v="32"/>
    <x v="0"/>
    <x v="1"/>
  </r>
  <r>
    <n v="21613"/>
    <x v="1"/>
    <x v="1"/>
    <n v="50000"/>
    <n v="2"/>
    <x v="0"/>
    <s v="Skilled Manual"/>
    <x v="1"/>
    <n v="1"/>
    <x v="0"/>
    <x v="2"/>
    <n v="39"/>
    <x v="0"/>
    <x v="1"/>
  </r>
  <r>
    <n v="24801"/>
    <x v="1"/>
    <x v="1"/>
    <n v="60000"/>
    <n v="1"/>
    <x v="4"/>
    <s v="Professional"/>
    <x v="0"/>
    <n v="0"/>
    <x v="1"/>
    <x v="2"/>
    <n v="35"/>
    <x v="0"/>
    <x v="1"/>
  </r>
  <r>
    <n v="17519"/>
    <x v="0"/>
    <x v="0"/>
    <n v="60000"/>
    <n v="0"/>
    <x v="1"/>
    <s v="Professional"/>
    <x v="0"/>
    <n v="2"/>
    <x v="2"/>
    <x v="2"/>
    <n v="32"/>
    <x v="0"/>
    <x v="0"/>
  </r>
  <r>
    <n v="18347"/>
    <x v="1"/>
    <x v="0"/>
    <n v="30000"/>
    <n v="0"/>
    <x v="1"/>
    <s v="Skilled Manual"/>
    <x v="1"/>
    <n v="1"/>
    <x v="3"/>
    <x v="2"/>
    <n v="31"/>
    <x v="0"/>
    <x v="0"/>
  </r>
  <r>
    <n v="29052"/>
    <x v="1"/>
    <x v="1"/>
    <n v="40000"/>
    <n v="0"/>
    <x v="1"/>
    <s v="Skilled Manual"/>
    <x v="0"/>
    <n v="1"/>
    <x v="2"/>
    <x v="2"/>
    <n v="27"/>
    <x v="2"/>
    <x v="0"/>
  </r>
  <r>
    <n v="11745"/>
    <x v="0"/>
    <x v="0"/>
    <n v="60000"/>
    <n v="1"/>
    <x v="0"/>
    <s v="Professional"/>
    <x v="0"/>
    <n v="1"/>
    <x v="0"/>
    <x v="2"/>
    <n v="47"/>
    <x v="0"/>
    <x v="1"/>
  </r>
  <r>
    <n v="19147"/>
    <x v="0"/>
    <x v="1"/>
    <n v="40000"/>
    <n v="0"/>
    <x v="0"/>
    <s v="Professional"/>
    <x v="1"/>
    <n v="1"/>
    <x v="0"/>
    <x v="2"/>
    <n v="42"/>
    <x v="0"/>
    <x v="0"/>
  </r>
  <r>
    <n v="19217"/>
    <x v="0"/>
    <x v="1"/>
    <n v="30000"/>
    <n v="2"/>
    <x v="2"/>
    <s v="Skilled Manual"/>
    <x v="0"/>
    <n v="2"/>
    <x v="3"/>
    <x v="2"/>
    <n v="49"/>
    <x v="0"/>
    <x v="0"/>
  </r>
  <r>
    <n v="15839"/>
    <x v="1"/>
    <x v="1"/>
    <n v="30000"/>
    <n v="0"/>
    <x v="1"/>
    <s v="Skilled Manual"/>
    <x v="0"/>
    <n v="1"/>
    <x v="2"/>
    <x v="2"/>
    <n v="32"/>
    <x v="0"/>
    <x v="0"/>
  </r>
  <r>
    <n v="13714"/>
    <x v="0"/>
    <x v="0"/>
    <n v="20000"/>
    <n v="2"/>
    <x v="2"/>
    <s v="Manual"/>
    <x v="1"/>
    <n v="2"/>
    <x v="3"/>
    <x v="2"/>
    <n v="53"/>
    <x v="0"/>
    <x v="1"/>
  </r>
  <r>
    <n v="22330"/>
    <x v="0"/>
    <x v="1"/>
    <n v="50000"/>
    <n v="0"/>
    <x v="4"/>
    <s v="Skilled Manual"/>
    <x v="0"/>
    <n v="0"/>
    <x v="3"/>
    <x v="2"/>
    <n v="32"/>
    <x v="0"/>
    <x v="1"/>
  </r>
  <r>
    <n v="18783"/>
    <x v="1"/>
    <x v="1"/>
    <n v="80000"/>
    <n v="0"/>
    <x v="0"/>
    <s v="Management"/>
    <x v="1"/>
    <n v="1"/>
    <x v="0"/>
    <x v="2"/>
    <n v="38"/>
    <x v="0"/>
    <x v="1"/>
  </r>
  <r>
    <n v="25041"/>
    <x v="1"/>
    <x v="1"/>
    <n v="40000"/>
    <n v="0"/>
    <x v="2"/>
    <s v="Skilled Manual"/>
    <x v="0"/>
    <n v="2"/>
    <x v="2"/>
    <x v="2"/>
    <n v="31"/>
    <x v="0"/>
    <x v="0"/>
  </r>
  <r>
    <n v="22046"/>
    <x v="1"/>
    <x v="0"/>
    <n v="80000"/>
    <n v="0"/>
    <x v="0"/>
    <s v="Management"/>
    <x v="1"/>
    <n v="1"/>
    <x v="0"/>
    <x v="2"/>
    <n v="38"/>
    <x v="0"/>
    <x v="1"/>
  </r>
  <r>
    <n v="28052"/>
    <x v="0"/>
    <x v="1"/>
    <n v="60000"/>
    <n v="2"/>
    <x v="2"/>
    <s v="Professional"/>
    <x v="0"/>
    <n v="2"/>
    <x v="4"/>
    <x v="2"/>
    <n v="55"/>
    <x v="1"/>
    <x v="0"/>
  </r>
  <r>
    <n v="26693"/>
    <x v="0"/>
    <x v="1"/>
    <n v="70000"/>
    <n v="3"/>
    <x v="1"/>
    <s v="Professional"/>
    <x v="0"/>
    <n v="1"/>
    <x v="2"/>
    <x v="2"/>
    <n v="49"/>
    <x v="0"/>
    <x v="0"/>
  </r>
  <r>
    <n v="24955"/>
    <x v="1"/>
    <x v="1"/>
    <n v="30000"/>
    <n v="5"/>
    <x v="3"/>
    <s v="Skilled Manual"/>
    <x v="0"/>
    <n v="3"/>
    <x v="4"/>
    <x v="2"/>
    <n v="60"/>
    <x v="1"/>
    <x v="1"/>
  </r>
  <r>
    <n v="26065"/>
    <x v="1"/>
    <x v="0"/>
    <n v="110000"/>
    <n v="3"/>
    <x v="0"/>
    <s v="Management"/>
    <x v="1"/>
    <n v="4"/>
    <x v="3"/>
    <x v="2"/>
    <n v="42"/>
    <x v="0"/>
    <x v="0"/>
  </r>
  <r>
    <n v="13942"/>
    <x v="0"/>
    <x v="1"/>
    <n v="60000"/>
    <n v="1"/>
    <x v="1"/>
    <s v="Skilled Manual"/>
    <x v="0"/>
    <n v="1"/>
    <x v="0"/>
    <x v="2"/>
    <n v="46"/>
    <x v="0"/>
    <x v="0"/>
  </r>
  <r>
    <n v="11219"/>
    <x v="0"/>
    <x v="1"/>
    <n v="60000"/>
    <n v="2"/>
    <x v="2"/>
    <s v="Professional"/>
    <x v="0"/>
    <n v="2"/>
    <x v="4"/>
    <x v="2"/>
    <n v="55"/>
    <x v="1"/>
    <x v="0"/>
  </r>
  <r>
    <n v="22118"/>
    <x v="1"/>
    <x v="0"/>
    <n v="70000"/>
    <n v="3"/>
    <x v="4"/>
    <s v="Management"/>
    <x v="0"/>
    <n v="2"/>
    <x v="2"/>
    <x v="2"/>
    <n v="53"/>
    <x v="0"/>
    <x v="1"/>
  </r>
  <r>
    <n v="23197"/>
    <x v="0"/>
    <x v="1"/>
    <n v="50000"/>
    <n v="3"/>
    <x v="0"/>
    <s v="Skilled Manual"/>
    <x v="0"/>
    <n v="2"/>
    <x v="1"/>
    <x v="2"/>
    <n v="40"/>
    <x v="0"/>
    <x v="0"/>
  </r>
  <r>
    <n v="14883"/>
    <x v="0"/>
    <x v="0"/>
    <n v="30000"/>
    <n v="1"/>
    <x v="0"/>
    <s v="Skilled Manual"/>
    <x v="0"/>
    <n v="1"/>
    <x v="2"/>
    <x v="2"/>
    <n v="53"/>
    <x v="0"/>
    <x v="1"/>
  </r>
  <r>
    <n v="27279"/>
    <x v="1"/>
    <x v="0"/>
    <n v="70000"/>
    <n v="2"/>
    <x v="0"/>
    <s v="Skilled Manual"/>
    <x v="0"/>
    <n v="0"/>
    <x v="1"/>
    <x v="2"/>
    <n v="38"/>
    <x v="0"/>
    <x v="1"/>
  </r>
  <r>
    <n v="18322"/>
    <x v="1"/>
    <x v="1"/>
    <n v="30000"/>
    <n v="0"/>
    <x v="3"/>
    <s v="Clerical"/>
    <x v="1"/>
    <n v="2"/>
    <x v="0"/>
    <x v="2"/>
    <n v="26"/>
    <x v="2"/>
    <x v="0"/>
  </r>
  <r>
    <n v="15879"/>
    <x v="0"/>
    <x v="1"/>
    <n v="70000"/>
    <n v="5"/>
    <x v="0"/>
    <s v="Management"/>
    <x v="0"/>
    <n v="2"/>
    <x v="1"/>
    <x v="2"/>
    <n v="61"/>
    <x v="1"/>
    <x v="0"/>
  </r>
  <r>
    <n v="28278"/>
    <x v="0"/>
    <x v="1"/>
    <n v="50000"/>
    <n v="2"/>
    <x v="4"/>
    <s v="Management"/>
    <x v="0"/>
    <n v="2"/>
    <x v="2"/>
    <x v="2"/>
    <n v="71"/>
    <x v="1"/>
    <x v="0"/>
  </r>
  <r>
    <n v="24416"/>
    <x v="0"/>
    <x v="1"/>
    <n v="90000"/>
    <n v="4"/>
    <x v="2"/>
    <s v="Professional"/>
    <x v="0"/>
    <n v="2"/>
    <x v="3"/>
    <x v="2"/>
    <n v="45"/>
    <x v="0"/>
    <x v="0"/>
  </r>
  <r>
    <n v="28066"/>
    <x v="0"/>
    <x v="1"/>
    <n v="80000"/>
    <n v="2"/>
    <x v="4"/>
    <s v="Professional"/>
    <x v="0"/>
    <n v="0"/>
    <x v="0"/>
    <x v="2"/>
    <n v="37"/>
    <x v="0"/>
    <x v="1"/>
  </r>
  <r>
    <n v="11275"/>
    <x v="0"/>
    <x v="0"/>
    <n v="80000"/>
    <n v="4"/>
    <x v="4"/>
    <s v="Management"/>
    <x v="0"/>
    <n v="2"/>
    <x v="0"/>
    <x v="2"/>
    <n v="72"/>
    <x v="1"/>
    <x v="1"/>
  </r>
  <r>
    <n v="14872"/>
    <x v="0"/>
    <x v="1"/>
    <n v="30000"/>
    <n v="0"/>
    <x v="4"/>
    <s v="Skilled Manual"/>
    <x v="0"/>
    <n v="0"/>
    <x v="0"/>
    <x v="2"/>
    <n v="32"/>
    <x v="0"/>
    <x v="0"/>
  </r>
  <r>
    <n v="16151"/>
    <x v="0"/>
    <x v="0"/>
    <n v="60000"/>
    <n v="1"/>
    <x v="0"/>
    <s v="Professional"/>
    <x v="0"/>
    <n v="1"/>
    <x v="1"/>
    <x v="2"/>
    <n v="48"/>
    <x v="0"/>
    <x v="1"/>
  </r>
  <r>
    <n v="19731"/>
    <x v="0"/>
    <x v="1"/>
    <n v="80000"/>
    <n v="4"/>
    <x v="4"/>
    <s v="Management"/>
    <x v="0"/>
    <n v="2"/>
    <x v="2"/>
    <x v="2"/>
    <n v="68"/>
    <x v="1"/>
    <x v="0"/>
  </r>
  <r>
    <n v="23801"/>
    <x v="0"/>
    <x v="0"/>
    <n v="20000"/>
    <n v="2"/>
    <x v="3"/>
    <s v="Clerical"/>
    <x v="0"/>
    <n v="2"/>
    <x v="0"/>
    <x v="2"/>
    <n v="49"/>
    <x v="0"/>
    <x v="0"/>
  </r>
  <r>
    <n v="11807"/>
    <x v="0"/>
    <x v="1"/>
    <n v="70000"/>
    <n v="3"/>
    <x v="4"/>
    <s v="Professional"/>
    <x v="0"/>
    <n v="0"/>
    <x v="1"/>
    <x v="2"/>
    <n v="34"/>
    <x v="0"/>
    <x v="0"/>
  </r>
  <r>
    <n v="11622"/>
    <x v="0"/>
    <x v="1"/>
    <n v="50000"/>
    <n v="0"/>
    <x v="4"/>
    <s v="Skilled Manual"/>
    <x v="0"/>
    <n v="0"/>
    <x v="0"/>
    <x v="2"/>
    <n v="32"/>
    <x v="0"/>
    <x v="0"/>
  </r>
  <r>
    <n v="26597"/>
    <x v="1"/>
    <x v="0"/>
    <n v="60000"/>
    <n v="4"/>
    <x v="0"/>
    <s v="Skilled Manual"/>
    <x v="1"/>
    <n v="2"/>
    <x v="0"/>
    <x v="2"/>
    <n v="42"/>
    <x v="0"/>
    <x v="0"/>
  </r>
  <r>
    <n v="27074"/>
    <x v="0"/>
    <x v="0"/>
    <n v="70000"/>
    <n v="1"/>
    <x v="4"/>
    <s v="Skilled Manual"/>
    <x v="0"/>
    <n v="0"/>
    <x v="0"/>
    <x v="2"/>
    <n v="35"/>
    <x v="0"/>
    <x v="1"/>
  </r>
  <r>
    <n v="19228"/>
    <x v="0"/>
    <x v="0"/>
    <n v="40000"/>
    <n v="2"/>
    <x v="1"/>
    <s v="Clerical"/>
    <x v="0"/>
    <n v="1"/>
    <x v="0"/>
    <x v="2"/>
    <n v="48"/>
    <x v="0"/>
    <x v="0"/>
  </r>
  <r>
    <n v="13415"/>
    <x v="1"/>
    <x v="1"/>
    <n v="100000"/>
    <n v="1"/>
    <x v="4"/>
    <s v="Management"/>
    <x v="0"/>
    <n v="3"/>
    <x v="1"/>
    <x v="2"/>
    <n v="73"/>
    <x v="1"/>
    <x v="1"/>
  </r>
  <r>
    <n v="17000"/>
    <x v="1"/>
    <x v="0"/>
    <n v="70000"/>
    <n v="4"/>
    <x v="0"/>
    <s v="Skilled Manual"/>
    <x v="0"/>
    <n v="2"/>
    <x v="1"/>
    <x v="2"/>
    <n v="43"/>
    <x v="0"/>
    <x v="1"/>
  </r>
  <r>
    <n v="14569"/>
    <x v="0"/>
    <x v="1"/>
    <n v="60000"/>
    <n v="1"/>
    <x v="4"/>
    <s v="Professional"/>
    <x v="0"/>
    <n v="0"/>
    <x v="0"/>
    <x v="2"/>
    <n v="35"/>
    <x v="0"/>
    <x v="0"/>
  </r>
  <r>
    <n v="13873"/>
    <x v="0"/>
    <x v="1"/>
    <n v="70000"/>
    <n v="3"/>
    <x v="4"/>
    <s v="Professional"/>
    <x v="0"/>
    <n v="0"/>
    <x v="0"/>
    <x v="2"/>
    <n v="35"/>
    <x v="0"/>
    <x v="1"/>
  </r>
  <r>
    <n v="20401"/>
    <x v="0"/>
    <x v="0"/>
    <n v="50000"/>
    <n v="4"/>
    <x v="0"/>
    <s v="Management"/>
    <x v="0"/>
    <n v="2"/>
    <x v="3"/>
    <x v="2"/>
    <n v="64"/>
    <x v="1"/>
    <x v="1"/>
  </r>
  <r>
    <n v="21583"/>
    <x v="0"/>
    <x v="0"/>
    <n v="50000"/>
    <n v="1"/>
    <x v="0"/>
    <s v="Skilled Manual"/>
    <x v="0"/>
    <n v="0"/>
    <x v="0"/>
    <x v="2"/>
    <n v="34"/>
    <x v="0"/>
    <x v="1"/>
  </r>
  <r>
    <n v="12029"/>
    <x v="0"/>
    <x v="1"/>
    <n v="30000"/>
    <n v="0"/>
    <x v="3"/>
    <s v="Clerical"/>
    <x v="1"/>
    <n v="2"/>
    <x v="0"/>
    <x v="2"/>
    <n v="28"/>
    <x v="2"/>
    <x v="0"/>
  </r>
  <r>
    <n v="18066"/>
    <x v="1"/>
    <x v="1"/>
    <n v="70000"/>
    <n v="5"/>
    <x v="0"/>
    <s v="Management"/>
    <x v="0"/>
    <n v="3"/>
    <x v="4"/>
    <x v="2"/>
    <n v="60"/>
    <x v="1"/>
    <x v="1"/>
  </r>
  <r>
    <n v="28192"/>
    <x v="0"/>
    <x v="0"/>
    <n v="70000"/>
    <n v="5"/>
    <x v="4"/>
    <s v="Professional"/>
    <x v="0"/>
    <n v="3"/>
    <x v="4"/>
    <x v="2"/>
    <n v="46"/>
    <x v="0"/>
    <x v="0"/>
  </r>
  <r>
    <n v="16122"/>
    <x v="0"/>
    <x v="1"/>
    <n v="40000"/>
    <n v="4"/>
    <x v="2"/>
    <s v="Skilled Manual"/>
    <x v="0"/>
    <n v="2"/>
    <x v="0"/>
    <x v="2"/>
    <n v="44"/>
    <x v="0"/>
    <x v="1"/>
  </r>
  <r>
    <n v="18607"/>
    <x v="1"/>
    <x v="0"/>
    <n v="60000"/>
    <n v="4"/>
    <x v="0"/>
    <s v="Skilled Manual"/>
    <x v="0"/>
    <n v="2"/>
    <x v="1"/>
    <x v="2"/>
    <n v="42"/>
    <x v="0"/>
    <x v="1"/>
  </r>
  <r>
    <n v="28858"/>
    <x v="1"/>
    <x v="1"/>
    <n v="80000"/>
    <n v="3"/>
    <x v="0"/>
    <s v="Skilled Manual"/>
    <x v="0"/>
    <n v="0"/>
    <x v="1"/>
    <x v="2"/>
    <n v="40"/>
    <x v="0"/>
    <x v="0"/>
  </r>
  <r>
    <n v="14432"/>
    <x v="1"/>
    <x v="1"/>
    <n v="90000"/>
    <n v="4"/>
    <x v="4"/>
    <s v="Management"/>
    <x v="0"/>
    <n v="1"/>
    <x v="2"/>
    <x v="2"/>
    <n v="73"/>
    <x v="1"/>
    <x v="0"/>
  </r>
  <r>
    <n v="26305"/>
    <x v="1"/>
    <x v="0"/>
    <n v="60000"/>
    <n v="2"/>
    <x v="0"/>
    <s v="Skilled Manual"/>
    <x v="1"/>
    <n v="0"/>
    <x v="0"/>
    <x v="2"/>
    <n v="36"/>
    <x v="0"/>
    <x v="1"/>
  </r>
  <r>
    <n v="22050"/>
    <x v="1"/>
    <x v="1"/>
    <n v="90000"/>
    <n v="4"/>
    <x v="0"/>
    <s v="Management"/>
    <x v="0"/>
    <n v="1"/>
    <x v="3"/>
    <x v="2"/>
    <n v="38"/>
    <x v="0"/>
    <x v="1"/>
  </r>
  <r>
    <n v="25394"/>
    <x v="0"/>
    <x v="1"/>
    <n v="60000"/>
    <n v="1"/>
    <x v="4"/>
    <s v="Professional"/>
    <x v="0"/>
    <n v="0"/>
    <x v="1"/>
    <x v="2"/>
    <n v="34"/>
    <x v="0"/>
    <x v="1"/>
  </r>
  <r>
    <n v="19747"/>
    <x v="0"/>
    <x v="1"/>
    <n v="50000"/>
    <n v="4"/>
    <x v="0"/>
    <s v="Management"/>
    <x v="0"/>
    <n v="2"/>
    <x v="4"/>
    <x v="2"/>
    <n v="63"/>
    <x v="1"/>
    <x v="0"/>
  </r>
  <r>
    <n v="23195"/>
    <x v="1"/>
    <x v="1"/>
    <n v="50000"/>
    <n v="3"/>
    <x v="0"/>
    <s v="Skilled Manual"/>
    <x v="0"/>
    <n v="2"/>
    <x v="1"/>
    <x v="2"/>
    <n v="41"/>
    <x v="0"/>
    <x v="1"/>
  </r>
  <r>
    <n v="21695"/>
    <x v="0"/>
    <x v="1"/>
    <n v="60000"/>
    <n v="0"/>
    <x v="4"/>
    <s v="Skilled Manual"/>
    <x v="0"/>
    <n v="0"/>
    <x v="3"/>
    <x v="2"/>
    <n v="39"/>
    <x v="0"/>
    <x v="1"/>
  </r>
  <r>
    <n v="13934"/>
    <x v="0"/>
    <x v="1"/>
    <n v="40000"/>
    <n v="4"/>
    <x v="2"/>
    <s v="Skilled Manual"/>
    <x v="0"/>
    <n v="2"/>
    <x v="1"/>
    <x v="2"/>
    <n v="46"/>
    <x v="0"/>
    <x v="0"/>
  </r>
  <r>
    <n v="13337"/>
    <x v="0"/>
    <x v="0"/>
    <n v="80000"/>
    <n v="5"/>
    <x v="0"/>
    <s v="Management"/>
    <x v="0"/>
    <n v="2"/>
    <x v="2"/>
    <x v="2"/>
    <n v="64"/>
    <x v="1"/>
    <x v="0"/>
  </r>
  <r>
    <n v="27190"/>
    <x v="0"/>
    <x v="0"/>
    <n v="40000"/>
    <n v="3"/>
    <x v="1"/>
    <s v="Clerical"/>
    <x v="0"/>
    <n v="1"/>
    <x v="3"/>
    <x v="2"/>
    <n v="32"/>
    <x v="0"/>
    <x v="0"/>
  </r>
  <r>
    <n v="28657"/>
    <x v="1"/>
    <x v="1"/>
    <n v="60000"/>
    <n v="2"/>
    <x v="0"/>
    <s v="Skilled Manual"/>
    <x v="0"/>
    <n v="0"/>
    <x v="1"/>
    <x v="2"/>
    <n v="36"/>
    <x v="0"/>
    <x v="1"/>
  </r>
  <r>
    <n v="21713"/>
    <x v="1"/>
    <x v="1"/>
    <n v="80000"/>
    <n v="5"/>
    <x v="4"/>
    <s v="Skilled Manual"/>
    <x v="1"/>
    <n v="0"/>
    <x v="0"/>
    <x v="2"/>
    <n v="47"/>
    <x v="0"/>
    <x v="0"/>
  </r>
  <r>
    <n v="21752"/>
    <x v="0"/>
    <x v="1"/>
    <n v="60000"/>
    <n v="3"/>
    <x v="4"/>
    <s v="Management"/>
    <x v="0"/>
    <n v="2"/>
    <x v="4"/>
    <x v="2"/>
    <n v="64"/>
    <x v="1"/>
    <x v="0"/>
  </r>
  <r>
    <n v="27273"/>
    <x v="1"/>
    <x v="1"/>
    <n v="70000"/>
    <n v="3"/>
    <x v="4"/>
    <s v="Professional"/>
    <x v="1"/>
    <n v="0"/>
    <x v="0"/>
    <x v="2"/>
    <n v="35"/>
    <x v="0"/>
    <x v="1"/>
  </r>
  <r>
    <n v="22719"/>
    <x v="1"/>
    <x v="1"/>
    <n v="110000"/>
    <n v="3"/>
    <x v="0"/>
    <s v="Management"/>
    <x v="0"/>
    <n v="4"/>
    <x v="1"/>
    <x v="2"/>
    <n v="40"/>
    <x v="0"/>
    <x v="1"/>
  </r>
  <r>
    <n v="22042"/>
    <x v="0"/>
    <x v="0"/>
    <n v="70000"/>
    <n v="0"/>
    <x v="1"/>
    <s v="Skilled Manual"/>
    <x v="0"/>
    <n v="2"/>
    <x v="2"/>
    <x v="2"/>
    <n v="34"/>
    <x v="0"/>
    <x v="1"/>
  </r>
  <r>
    <n v="21451"/>
    <x v="0"/>
    <x v="0"/>
    <n v="40000"/>
    <n v="4"/>
    <x v="2"/>
    <s v="Professional"/>
    <x v="0"/>
    <n v="2"/>
    <x v="4"/>
    <x v="2"/>
    <n v="61"/>
    <x v="1"/>
    <x v="0"/>
  </r>
  <r>
    <n v="20754"/>
    <x v="0"/>
    <x v="1"/>
    <n v="30000"/>
    <n v="2"/>
    <x v="2"/>
    <s v="Skilled Manual"/>
    <x v="0"/>
    <n v="2"/>
    <x v="3"/>
    <x v="2"/>
    <n v="51"/>
    <x v="0"/>
    <x v="0"/>
  </r>
  <r>
    <n v="12153"/>
    <x v="1"/>
    <x v="0"/>
    <n v="70000"/>
    <n v="3"/>
    <x v="1"/>
    <s v="Professional"/>
    <x v="0"/>
    <n v="1"/>
    <x v="2"/>
    <x v="2"/>
    <n v="49"/>
    <x v="0"/>
    <x v="1"/>
  </r>
  <r>
    <n v="16895"/>
    <x v="0"/>
    <x v="0"/>
    <n v="40000"/>
    <n v="3"/>
    <x v="1"/>
    <s v="Professional"/>
    <x v="1"/>
    <n v="2"/>
    <x v="3"/>
    <x v="2"/>
    <n v="54"/>
    <x v="0"/>
    <x v="1"/>
  </r>
  <r>
    <n v="26728"/>
    <x v="1"/>
    <x v="1"/>
    <n v="70000"/>
    <n v="3"/>
    <x v="4"/>
    <s v="Management"/>
    <x v="1"/>
    <n v="2"/>
    <x v="3"/>
    <x v="2"/>
    <n v="53"/>
    <x v="0"/>
    <x v="1"/>
  </r>
  <r>
    <n v="11090"/>
    <x v="1"/>
    <x v="1"/>
    <n v="90000"/>
    <n v="2"/>
    <x v="1"/>
    <s v="Professional"/>
    <x v="0"/>
    <n v="1"/>
    <x v="1"/>
    <x v="2"/>
    <n v="48"/>
    <x v="0"/>
    <x v="1"/>
  </r>
  <r>
    <n v="15862"/>
    <x v="1"/>
    <x v="0"/>
    <n v="50000"/>
    <n v="0"/>
    <x v="4"/>
    <s v="Skilled Manual"/>
    <x v="0"/>
    <n v="0"/>
    <x v="3"/>
    <x v="2"/>
    <n v="33"/>
    <x v="0"/>
    <x v="1"/>
  </r>
  <r>
    <n v="26495"/>
    <x v="1"/>
    <x v="0"/>
    <n v="40000"/>
    <n v="2"/>
    <x v="2"/>
    <s v="Professional"/>
    <x v="0"/>
    <n v="2"/>
    <x v="4"/>
    <x v="2"/>
    <n v="57"/>
    <x v="1"/>
    <x v="0"/>
  </r>
  <r>
    <n v="11823"/>
    <x v="0"/>
    <x v="0"/>
    <n v="70000"/>
    <n v="0"/>
    <x v="4"/>
    <s v="Professional"/>
    <x v="0"/>
    <n v="0"/>
    <x v="1"/>
    <x v="2"/>
    <n v="39"/>
    <x v="0"/>
    <x v="0"/>
  </r>
  <r>
    <n v="23449"/>
    <x v="0"/>
    <x v="1"/>
    <n v="60000"/>
    <n v="2"/>
    <x v="2"/>
    <s v="Professional"/>
    <x v="0"/>
    <n v="2"/>
    <x v="2"/>
    <x v="2"/>
    <n v="48"/>
    <x v="0"/>
    <x v="0"/>
  </r>
  <r>
    <n v="23459"/>
    <x v="0"/>
    <x v="1"/>
    <n v="60000"/>
    <n v="2"/>
    <x v="2"/>
    <s v="Professional"/>
    <x v="0"/>
    <n v="2"/>
    <x v="2"/>
    <x v="2"/>
    <n v="50"/>
    <x v="0"/>
    <x v="0"/>
  </r>
  <r>
    <n v="19543"/>
    <x v="0"/>
    <x v="1"/>
    <n v="70000"/>
    <n v="5"/>
    <x v="4"/>
    <s v="Professional"/>
    <x v="1"/>
    <n v="3"/>
    <x v="4"/>
    <x v="2"/>
    <n v="47"/>
    <x v="0"/>
    <x v="0"/>
  </r>
  <r>
    <n v="14914"/>
    <x v="0"/>
    <x v="0"/>
    <n v="40000"/>
    <n v="1"/>
    <x v="1"/>
    <s v="Clerical"/>
    <x v="0"/>
    <n v="1"/>
    <x v="3"/>
    <x v="2"/>
    <n v="49"/>
    <x v="0"/>
    <x v="1"/>
  </r>
  <r>
    <n v="12033"/>
    <x v="1"/>
    <x v="0"/>
    <n v="40000"/>
    <n v="0"/>
    <x v="2"/>
    <s v="Skilled Manual"/>
    <x v="1"/>
    <n v="2"/>
    <x v="0"/>
    <x v="2"/>
    <n v="27"/>
    <x v="2"/>
    <x v="1"/>
  </r>
  <r>
    <n v="11941"/>
    <x v="1"/>
    <x v="1"/>
    <n v="60000"/>
    <n v="0"/>
    <x v="1"/>
    <s v="Skilled Manual"/>
    <x v="0"/>
    <n v="0"/>
    <x v="2"/>
    <x v="2"/>
    <n v="29"/>
    <x v="2"/>
    <x v="0"/>
  </r>
  <r>
    <n v="14389"/>
    <x v="0"/>
    <x v="1"/>
    <n v="60000"/>
    <n v="2"/>
    <x v="0"/>
    <s v="Management"/>
    <x v="0"/>
    <n v="0"/>
    <x v="1"/>
    <x v="2"/>
    <n v="59"/>
    <x v="1"/>
    <x v="0"/>
  </r>
  <r>
    <n v="18050"/>
    <x v="0"/>
    <x v="0"/>
    <n v="60000"/>
    <n v="1"/>
    <x v="1"/>
    <s v="Skilled Manual"/>
    <x v="0"/>
    <n v="1"/>
    <x v="0"/>
    <x v="2"/>
    <n v="45"/>
    <x v="0"/>
    <x v="1"/>
  </r>
  <r>
    <n v="19856"/>
    <x v="0"/>
    <x v="0"/>
    <n v="60000"/>
    <n v="4"/>
    <x v="0"/>
    <s v="Management"/>
    <x v="0"/>
    <n v="2"/>
    <x v="1"/>
    <x v="2"/>
    <n v="60"/>
    <x v="1"/>
    <x v="0"/>
  </r>
  <r>
    <n v="11663"/>
    <x v="0"/>
    <x v="1"/>
    <n v="70000"/>
    <n v="4"/>
    <x v="4"/>
    <s v="Professional"/>
    <x v="0"/>
    <n v="0"/>
    <x v="0"/>
    <x v="2"/>
    <n v="36"/>
    <x v="0"/>
    <x v="1"/>
  </r>
  <r>
    <n v="27740"/>
    <x v="0"/>
    <x v="0"/>
    <n v="40000"/>
    <n v="0"/>
    <x v="2"/>
    <s v="Skilled Manual"/>
    <x v="0"/>
    <n v="2"/>
    <x v="2"/>
    <x v="2"/>
    <n v="27"/>
    <x v="2"/>
    <x v="0"/>
  </r>
  <r>
    <n v="23455"/>
    <x v="1"/>
    <x v="1"/>
    <n v="80000"/>
    <n v="2"/>
    <x v="3"/>
    <s v="Skilled Manual"/>
    <x v="1"/>
    <n v="2"/>
    <x v="3"/>
    <x v="2"/>
    <n v="50"/>
    <x v="0"/>
    <x v="0"/>
  </r>
  <r>
    <n v="15292"/>
    <x v="1"/>
    <x v="0"/>
    <n v="60000"/>
    <n v="1"/>
    <x v="4"/>
    <s v="Skilled Manual"/>
    <x v="0"/>
    <n v="0"/>
    <x v="3"/>
    <x v="2"/>
    <n v="35"/>
    <x v="0"/>
    <x v="0"/>
  </r>
  <r>
    <n v="21587"/>
    <x v="0"/>
    <x v="0"/>
    <n v="60000"/>
    <n v="1"/>
    <x v="4"/>
    <s v="Skilled Manual"/>
    <x v="0"/>
    <n v="0"/>
    <x v="1"/>
    <x v="2"/>
    <n v="34"/>
    <x v="0"/>
    <x v="1"/>
  </r>
  <r>
    <n v="23513"/>
    <x v="0"/>
    <x v="0"/>
    <n v="40000"/>
    <n v="3"/>
    <x v="1"/>
    <s v="Professional"/>
    <x v="0"/>
    <n v="2"/>
    <x v="2"/>
    <x v="2"/>
    <n v="54"/>
    <x v="0"/>
    <x v="0"/>
  </r>
  <r>
    <n v="24322"/>
    <x v="0"/>
    <x v="0"/>
    <n v="60000"/>
    <n v="4"/>
    <x v="0"/>
    <s v="Skilled Manual"/>
    <x v="1"/>
    <n v="2"/>
    <x v="0"/>
    <x v="2"/>
    <n v="42"/>
    <x v="0"/>
    <x v="0"/>
  </r>
  <r>
    <n v="26298"/>
    <x v="0"/>
    <x v="0"/>
    <n v="50000"/>
    <n v="1"/>
    <x v="0"/>
    <s v="Skilled Manual"/>
    <x v="0"/>
    <n v="0"/>
    <x v="1"/>
    <x v="2"/>
    <n v="34"/>
    <x v="0"/>
    <x v="1"/>
  </r>
  <r>
    <n v="25419"/>
    <x v="1"/>
    <x v="1"/>
    <n v="50000"/>
    <n v="2"/>
    <x v="0"/>
    <s v="Skilled Manual"/>
    <x v="1"/>
    <n v="1"/>
    <x v="0"/>
    <x v="2"/>
    <n v="38"/>
    <x v="0"/>
    <x v="1"/>
  </r>
  <r>
    <n v="13343"/>
    <x v="0"/>
    <x v="0"/>
    <n v="90000"/>
    <n v="5"/>
    <x v="0"/>
    <s v="Management"/>
    <x v="0"/>
    <n v="2"/>
    <x v="3"/>
    <x v="2"/>
    <n v="63"/>
    <x v="1"/>
    <x v="1"/>
  </r>
  <r>
    <n v="11303"/>
    <x v="1"/>
    <x v="0"/>
    <n v="90000"/>
    <n v="4"/>
    <x v="2"/>
    <s v="Professional"/>
    <x v="1"/>
    <n v="3"/>
    <x v="3"/>
    <x v="2"/>
    <n v="45"/>
    <x v="0"/>
    <x v="1"/>
  </r>
  <r>
    <n v="21693"/>
    <x v="1"/>
    <x v="0"/>
    <n v="60000"/>
    <n v="0"/>
    <x v="4"/>
    <s v="Skilled Manual"/>
    <x v="1"/>
    <n v="0"/>
    <x v="0"/>
    <x v="2"/>
    <n v="40"/>
    <x v="0"/>
    <x v="0"/>
  </r>
  <r>
    <n v="28056"/>
    <x v="0"/>
    <x v="1"/>
    <n v="70000"/>
    <n v="2"/>
    <x v="3"/>
    <s v="Skilled Manual"/>
    <x v="0"/>
    <n v="2"/>
    <x v="4"/>
    <x v="2"/>
    <n v="53"/>
    <x v="0"/>
    <x v="0"/>
  </r>
  <r>
    <n v="11788"/>
    <x v="1"/>
    <x v="0"/>
    <n v="70000"/>
    <n v="1"/>
    <x v="4"/>
    <s v="Professional"/>
    <x v="0"/>
    <n v="0"/>
    <x v="1"/>
    <x v="2"/>
    <n v="34"/>
    <x v="0"/>
    <x v="0"/>
  </r>
  <r>
    <n v="22296"/>
    <x v="0"/>
    <x v="1"/>
    <n v="70000"/>
    <n v="0"/>
    <x v="0"/>
    <s v="Professional"/>
    <x v="1"/>
    <n v="1"/>
    <x v="0"/>
    <x v="2"/>
    <n v="38"/>
    <x v="0"/>
    <x v="0"/>
  </r>
  <r>
    <n v="15319"/>
    <x v="0"/>
    <x v="0"/>
    <n v="70000"/>
    <n v="4"/>
    <x v="0"/>
    <s v="Management"/>
    <x v="1"/>
    <n v="1"/>
    <x v="3"/>
    <x v="2"/>
    <n v="59"/>
    <x v="1"/>
    <x v="0"/>
  </r>
  <r>
    <n v="17654"/>
    <x v="1"/>
    <x v="0"/>
    <n v="40000"/>
    <n v="3"/>
    <x v="1"/>
    <s v="Clerical"/>
    <x v="0"/>
    <n v="1"/>
    <x v="3"/>
    <x v="2"/>
    <n v="30"/>
    <x v="2"/>
    <x v="1"/>
  </r>
  <r>
    <n v="14662"/>
    <x v="0"/>
    <x v="1"/>
    <n v="60000"/>
    <n v="1"/>
    <x v="0"/>
    <s v="Professional"/>
    <x v="0"/>
    <n v="1"/>
    <x v="0"/>
    <x v="2"/>
    <n v="48"/>
    <x v="0"/>
    <x v="1"/>
  </r>
  <r>
    <n v="17541"/>
    <x v="0"/>
    <x v="0"/>
    <n v="40000"/>
    <n v="4"/>
    <x v="2"/>
    <s v="Skilled Manual"/>
    <x v="0"/>
    <n v="2"/>
    <x v="1"/>
    <x v="2"/>
    <n v="43"/>
    <x v="0"/>
    <x v="0"/>
  </r>
  <r>
    <n v="13886"/>
    <x v="0"/>
    <x v="0"/>
    <n v="70000"/>
    <n v="4"/>
    <x v="4"/>
    <s v="Professional"/>
    <x v="0"/>
    <n v="0"/>
    <x v="1"/>
    <x v="2"/>
    <n v="35"/>
    <x v="0"/>
    <x v="1"/>
  </r>
  <r>
    <n v="13073"/>
    <x v="0"/>
    <x v="0"/>
    <n v="60000"/>
    <n v="0"/>
    <x v="1"/>
    <s v="Professional"/>
    <x v="0"/>
    <n v="2"/>
    <x v="2"/>
    <x v="2"/>
    <n v="30"/>
    <x v="2"/>
    <x v="0"/>
  </r>
  <r>
    <n v="21940"/>
    <x v="0"/>
    <x v="1"/>
    <n v="90000"/>
    <n v="5"/>
    <x v="4"/>
    <s v="Professional"/>
    <x v="0"/>
    <n v="0"/>
    <x v="0"/>
    <x v="2"/>
    <n v="47"/>
    <x v="0"/>
    <x v="1"/>
  </r>
  <r>
    <n v="20196"/>
    <x v="0"/>
    <x v="1"/>
    <n v="60000"/>
    <n v="1"/>
    <x v="1"/>
    <s v="Skilled Manual"/>
    <x v="0"/>
    <n v="1"/>
    <x v="1"/>
    <x v="2"/>
    <n v="45"/>
    <x v="0"/>
    <x v="1"/>
  </r>
  <r>
    <n v="23491"/>
    <x v="1"/>
    <x v="1"/>
    <n v="100000"/>
    <n v="0"/>
    <x v="1"/>
    <s v="Professional"/>
    <x v="1"/>
    <n v="4"/>
    <x v="3"/>
    <x v="2"/>
    <n v="45"/>
    <x v="0"/>
    <x v="0"/>
  </r>
  <r>
    <n v="16651"/>
    <x v="0"/>
    <x v="0"/>
    <n v="120000"/>
    <n v="2"/>
    <x v="0"/>
    <s v="Management"/>
    <x v="0"/>
    <n v="3"/>
    <x v="2"/>
    <x v="2"/>
    <n v="62"/>
    <x v="1"/>
    <x v="0"/>
  </r>
  <r>
    <n v="16813"/>
    <x v="0"/>
    <x v="1"/>
    <n v="60000"/>
    <n v="2"/>
    <x v="1"/>
    <s v="Professional"/>
    <x v="0"/>
    <n v="2"/>
    <x v="4"/>
    <x v="2"/>
    <n v="55"/>
    <x v="1"/>
    <x v="0"/>
  </r>
  <r>
    <n v="16007"/>
    <x v="0"/>
    <x v="0"/>
    <n v="90000"/>
    <n v="5"/>
    <x v="0"/>
    <s v="Management"/>
    <x v="0"/>
    <n v="2"/>
    <x v="3"/>
    <x v="2"/>
    <n v="66"/>
    <x v="1"/>
    <x v="1"/>
  </r>
  <r>
    <n v="27434"/>
    <x v="1"/>
    <x v="1"/>
    <n v="70000"/>
    <n v="4"/>
    <x v="1"/>
    <s v="Professional"/>
    <x v="0"/>
    <n v="1"/>
    <x v="4"/>
    <x v="2"/>
    <n v="56"/>
    <x v="1"/>
    <x v="0"/>
  </r>
  <r>
    <n v="27756"/>
    <x v="1"/>
    <x v="0"/>
    <n v="50000"/>
    <n v="3"/>
    <x v="0"/>
    <s v="Skilled Manual"/>
    <x v="1"/>
    <n v="1"/>
    <x v="0"/>
    <x v="2"/>
    <n v="40"/>
    <x v="0"/>
    <x v="0"/>
  </r>
  <r>
    <n v="23818"/>
    <x v="0"/>
    <x v="0"/>
    <n v="50000"/>
    <n v="0"/>
    <x v="4"/>
    <s v="Skilled Manual"/>
    <x v="0"/>
    <n v="0"/>
    <x v="3"/>
    <x v="2"/>
    <n v="33"/>
    <x v="0"/>
    <x v="1"/>
  </r>
  <r>
    <n v="19012"/>
    <x v="0"/>
    <x v="1"/>
    <n v="80000"/>
    <n v="3"/>
    <x v="0"/>
    <s v="Management"/>
    <x v="0"/>
    <n v="1"/>
    <x v="3"/>
    <x v="2"/>
    <n v="56"/>
    <x v="1"/>
    <x v="0"/>
  </r>
  <r>
    <n v="18329"/>
    <x v="1"/>
    <x v="1"/>
    <n v="30000"/>
    <n v="0"/>
    <x v="3"/>
    <s v="Clerical"/>
    <x v="1"/>
    <n v="2"/>
    <x v="2"/>
    <x v="2"/>
    <n v="27"/>
    <x v="2"/>
    <x v="0"/>
  </r>
  <r>
    <n v="29037"/>
    <x v="0"/>
    <x v="1"/>
    <n v="60000"/>
    <n v="0"/>
    <x v="4"/>
    <s v="Professional"/>
    <x v="1"/>
    <n v="0"/>
    <x v="0"/>
    <x v="2"/>
    <n v="39"/>
    <x v="0"/>
    <x v="0"/>
  </r>
  <r>
    <n v="26576"/>
    <x v="0"/>
    <x v="0"/>
    <n v="60000"/>
    <n v="0"/>
    <x v="1"/>
    <s v="Skilled Manual"/>
    <x v="0"/>
    <n v="2"/>
    <x v="2"/>
    <x v="2"/>
    <n v="31"/>
    <x v="0"/>
    <x v="0"/>
  </r>
  <r>
    <n v="12192"/>
    <x v="1"/>
    <x v="0"/>
    <n v="60000"/>
    <n v="2"/>
    <x v="3"/>
    <s v="Skilled Manual"/>
    <x v="1"/>
    <n v="2"/>
    <x v="3"/>
    <x v="2"/>
    <n v="51"/>
    <x v="0"/>
    <x v="0"/>
  </r>
  <r>
    <n v="14887"/>
    <x v="0"/>
    <x v="0"/>
    <n v="30000"/>
    <n v="1"/>
    <x v="2"/>
    <s v="Clerical"/>
    <x v="0"/>
    <n v="1"/>
    <x v="2"/>
    <x v="2"/>
    <n v="52"/>
    <x v="0"/>
    <x v="0"/>
  </r>
  <r>
    <n v="11734"/>
    <x v="0"/>
    <x v="1"/>
    <n v="60000"/>
    <n v="1"/>
    <x v="1"/>
    <s v="Skilled Manual"/>
    <x v="1"/>
    <n v="1"/>
    <x v="0"/>
    <x v="2"/>
    <n v="47"/>
    <x v="0"/>
    <x v="0"/>
  </r>
  <r>
    <n v="17462"/>
    <x v="0"/>
    <x v="1"/>
    <n v="70000"/>
    <n v="3"/>
    <x v="4"/>
    <s v="Management"/>
    <x v="0"/>
    <n v="2"/>
    <x v="2"/>
    <x v="2"/>
    <n v="53"/>
    <x v="0"/>
    <x v="1"/>
  </r>
  <r>
    <n v="20659"/>
    <x v="0"/>
    <x v="1"/>
    <n v="70000"/>
    <n v="3"/>
    <x v="4"/>
    <s v="Professional"/>
    <x v="0"/>
    <n v="0"/>
    <x v="0"/>
    <x v="2"/>
    <n v="35"/>
    <x v="0"/>
    <x v="1"/>
  </r>
  <r>
    <n v="28004"/>
    <x v="0"/>
    <x v="0"/>
    <n v="60000"/>
    <n v="3"/>
    <x v="0"/>
    <s v="Management"/>
    <x v="0"/>
    <n v="2"/>
    <x v="4"/>
    <x v="2"/>
    <n v="66"/>
    <x v="1"/>
    <x v="0"/>
  </r>
  <r>
    <n v="19741"/>
    <x v="1"/>
    <x v="0"/>
    <n v="80000"/>
    <n v="4"/>
    <x v="4"/>
    <s v="Management"/>
    <x v="0"/>
    <n v="2"/>
    <x v="2"/>
    <x v="2"/>
    <n v="65"/>
    <x v="1"/>
    <x v="0"/>
  </r>
  <r>
    <n v="17450"/>
    <x v="0"/>
    <x v="1"/>
    <n v="80000"/>
    <n v="5"/>
    <x v="1"/>
    <s v="Professional"/>
    <x v="0"/>
    <n v="3"/>
    <x v="2"/>
    <x v="2"/>
    <n v="45"/>
    <x v="0"/>
    <x v="0"/>
  </r>
  <r>
    <n v="17337"/>
    <x v="1"/>
    <x v="1"/>
    <n v="40000"/>
    <n v="0"/>
    <x v="2"/>
    <s v="Skilled Manual"/>
    <x v="0"/>
    <n v="1"/>
    <x v="2"/>
    <x v="2"/>
    <n v="31"/>
    <x v="0"/>
    <x v="0"/>
  </r>
  <r>
    <n v="18594"/>
    <x v="1"/>
    <x v="0"/>
    <n v="80000"/>
    <n v="3"/>
    <x v="0"/>
    <s v="Skilled Manual"/>
    <x v="0"/>
    <n v="3"/>
    <x v="4"/>
    <x v="2"/>
    <n v="40"/>
    <x v="0"/>
    <x v="1"/>
  </r>
  <r>
    <n v="15982"/>
    <x v="0"/>
    <x v="1"/>
    <n v="110000"/>
    <n v="5"/>
    <x v="1"/>
    <s v="Professional"/>
    <x v="0"/>
    <n v="4"/>
    <x v="1"/>
    <x v="2"/>
    <n v="46"/>
    <x v="0"/>
    <x v="0"/>
  </r>
  <r>
    <n v="28625"/>
    <x v="1"/>
    <x v="1"/>
    <n v="40000"/>
    <n v="2"/>
    <x v="1"/>
    <s v="Clerical"/>
    <x v="1"/>
    <n v="1"/>
    <x v="3"/>
    <x v="2"/>
    <n v="47"/>
    <x v="0"/>
    <x v="1"/>
  </r>
  <r>
    <n v="11269"/>
    <x v="0"/>
    <x v="1"/>
    <n v="130000"/>
    <n v="2"/>
    <x v="4"/>
    <s v="Management"/>
    <x v="0"/>
    <n v="2"/>
    <x v="0"/>
    <x v="2"/>
    <n v="41"/>
    <x v="0"/>
    <x v="0"/>
  </r>
  <r>
    <n v="25148"/>
    <x v="0"/>
    <x v="1"/>
    <n v="60000"/>
    <n v="2"/>
    <x v="2"/>
    <s v="Professional"/>
    <x v="1"/>
    <n v="2"/>
    <x v="3"/>
    <x v="2"/>
    <n v="48"/>
    <x v="0"/>
    <x v="1"/>
  </r>
  <r>
    <n v="13920"/>
    <x v="1"/>
    <x v="0"/>
    <n v="50000"/>
    <n v="4"/>
    <x v="0"/>
    <s v="Skilled Manual"/>
    <x v="0"/>
    <n v="2"/>
    <x v="0"/>
    <x v="2"/>
    <n v="42"/>
    <x v="0"/>
    <x v="0"/>
  </r>
  <r>
    <n v="23704"/>
    <x v="1"/>
    <x v="1"/>
    <n v="40000"/>
    <n v="5"/>
    <x v="2"/>
    <s v="Professional"/>
    <x v="0"/>
    <n v="4"/>
    <x v="4"/>
    <x v="2"/>
    <n v="60"/>
    <x v="1"/>
    <x v="1"/>
  </r>
  <r>
    <n v="28972"/>
    <x v="1"/>
    <x v="0"/>
    <n v="60000"/>
    <n v="3"/>
    <x v="4"/>
    <s v="Management"/>
    <x v="0"/>
    <n v="2"/>
    <x v="4"/>
    <x v="2"/>
    <n v="66"/>
    <x v="1"/>
    <x v="0"/>
  </r>
  <r>
    <n v="22730"/>
    <x v="0"/>
    <x v="1"/>
    <n v="70000"/>
    <n v="5"/>
    <x v="0"/>
    <s v="Management"/>
    <x v="0"/>
    <n v="2"/>
    <x v="4"/>
    <x v="2"/>
    <n v="63"/>
    <x v="1"/>
    <x v="0"/>
  </r>
  <r>
    <n v="29134"/>
    <x v="0"/>
    <x v="1"/>
    <n v="60000"/>
    <n v="4"/>
    <x v="0"/>
    <s v="Skilled Manual"/>
    <x v="1"/>
    <n v="3"/>
    <x v="4"/>
    <x v="2"/>
    <n v="42"/>
    <x v="0"/>
    <x v="0"/>
  </r>
  <r>
    <n v="14332"/>
    <x v="1"/>
    <x v="0"/>
    <n v="30000"/>
    <n v="0"/>
    <x v="2"/>
    <s v="Skilled Manual"/>
    <x v="1"/>
    <n v="2"/>
    <x v="2"/>
    <x v="2"/>
    <n v="26"/>
    <x v="2"/>
    <x v="0"/>
  </r>
  <r>
    <n v="19117"/>
    <x v="1"/>
    <x v="0"/>
    <n v="60000"/>
    <n v="1"/>
    <x v="4"/>
    <s v="Professional"/>
    <x v="0"/>
    <n v="0"/>
    <x v="1"/>
    <x v="2"/>
    <n v="36"/>
    <x v="0"/>
    <x v="1"/>
  </r>
  <r>
    <n v="22864"/>
    <x v="0"/>
    <x v="1"/>
    <n v="90000"/>
    <n v="2"/>
    <x v="1"/>
    <s v="Professional"/>
    <x v="1"/>
    <n v="0"/>
    <x v="2"/>
    <x v="2"/>
    <n v="49"/>
    <x v="0"/>
    <x v="1"/>
  </r>
  <r>
    <n v="11292"/>
    <x v="1"/>
    <x v="1"/>
    <n v="150000"/>
    <n v="1"/>
    <x v="1"/>
    <s v="Professional"/>
    <x v="1"/>
    <n v="3"/>
    <x v="0"/>
    <x v="2"/>
    <n v="44"/>
    <x v="0"/>
    <x v="1"/>
  </r>
  <r>
    <n v="13466"/>
    <x v="0"/>
    <x v="1"/>
    <n v="80000"/>
    <n v="5"/>
    <x v="1"/>
    <s v="Professional"/>
    <x v="0"/>
    <n v="3"/>
    <x v="3"/>
    <x v="2"/>
    <n v="46"/>
    <x v="0"/>
    <x v="0"/>
  </r>
  <r>
    <n v="23731"/>
    <x v="0"/>
    <x v="1"/>
    <n v="60000"/>
    <n v="2"/>
    <x v="2"/>
    <s v="Professional"/>
    <x v="0"/>
    <n v="2"/>
    <x v="1"/>
    <x v="2"/>
    <n v="54"/>
    <x v="0"/>
    <x v="1"/>
  </r>
  <r>
    <n v="28672"/>
    <x v="1"/>
    <x v="1"/>
    <n v="70000"/>
    <n v="4"/>
    <x v="4"/>
    <s v="Professional"/>
    <x v="0"/>
    <n v="0"/>
    <x v="1"/>
    <x v="2"/>
    <n v="35"/>
    <x v="0"/>
    <x v="1"/>
  </r>
  <r>
    <n v="11809"/>
    <x v="0"/>
    <x v="1"/>
    <n v="60000"/>
    <n v="2"/>
    <x v="0"/>
    <s v="Skilled Manual"/>
    <x v="0"/>
    <n v="0"/>
    <x v="0"/>
    <x v="2"/>
    <n v="38"/>
    <x v="0"/>
    <x v="1"/>
  </r>
  <r>
    <n v="19664"/>
    <x v="1"/>
    <x v="1"/>
    <n v="100000"/>
    <n v="3"/>
    <x v="0"/>
    <s v="Management"/>
    <x v="1"/>
    <n v="3"/>
    <x v="3"/>
    <x v="2"/>
    <n v="38"/>
    <x v="0"/>
    <x v="0"/>
  </r>
  <r>
    <n v="12121"/>
    <x v="1"/>
    <x v="1"/>
    <n v="60000"/>
    <n v="3"/>
    <x v="2"/>
    <s v="Professional"/>
    <x v="0"/>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506E13C-46E6-4471-9A10-8270CC7C8B40}" name="PivotTable8"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4:D39" firstHeaderRow="1" firstDataRow="2" firstDataCol="1"/>
  <pivotFields count="14">
    <pivotField showAll="0"/>
    <pivotField showAll="0">
      <items count="3">
        <item x="0"/>
        <item x="1"/>
        <item t="default"/>
      </items>
    </pivotField>
    <pivotField showAll="0"/>
    <pivotField numFmtId="168" showAll="0"/>
    <pivotField showAll="0"/>
    <pivotField showAll="0">
      <items count="6">
        <item x="0"/>
        <item x="4"/>
        <item x="2"/>
        <item x="1"/>
        <item x="3"/>
        <item t="default"/>
      </items>
    </pivotField>
    <pivotField showAll="0"/>
    <pivotField showAll="0"/>
    <pivotField showAll="0"/>
    <pivotField showAll="0">
      <items count="7">
        <item x="0"/>
        <item m="1" x="5"/>
        <item x="3"/>
        <item x="1"/>
        <item x="2"/>
        <item x="4"/>
        <item t="default"/>
      </items>
    </pivotField>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1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8" format="10" series="1">
      <pivotArea type="data" outline="0" fieldPosition="0">
        <references count="2">
          <reference field="4294967294" count="1" selected="0">
            <x v="0"/>
          </reference>
          <reference field="13" count="1" selected="0">
            <x v="0"/>
          </reference>
        </references>
      </pivotArea>
    </chartFormat>
    <chartFormat chart="8" format="11">
      <pivotArea type="data" outline="0" fieldPosition="0">
        <references count="3">
          <reference field="4294967294" count="1" selected="0">
            <x v="0"/>
          </reference>
          <reference field="12" count="1" selected="0">
            <x v="0"/>
          </reference>
          <reference field="13" count="1" selected="0">
            <x v="0"/>
          </reference>
        </references>
      </pivotArea>
    </chartFormat>
    <chartFormat chart="8" format="12">
      <pivotArea type="data" outline="0" fieldPosition="0">
        <references count="3">
          <reference field="4294967294" count="1" selected="0">
            <x v="0"/>
          </reference>
          <reference field="12" count="1" selected="0">
            <x v="1"/>
          </reference>
          <reference field="13" count="1" selected="0">
            <x v="0"/>
          </reference>
        </references>
      </pivotArea>
    </chartFormat>
    <chartFormat chart="8" format="13">
      <pivotArea type="data" outline="0" fieldPosition="0">
        <references count="3">
          <reference field="4294967294" count="1" selected="0">
            <x v="0"/>
          </reference>
          <reference field="12" count="1" selected="0">
            <x v="2"/>
          </reference>
          <reference field="13" count="1" selected="0">
            <x v="0"/>
          </reference>
        </references>
      </pivotArea>
    </chartFormat>
    <chartFormat chart="8" format="14" series="1">
      <pivotArea type="data" outline="0" fieldPosition="0">
        <references count="2">
          <reference field="4294967294" count="1" selected="0">
            <x v="0"/>
          </reference>
          <reference field="13" count="1" selected="0">
            <x v="1"/>
          </reference>
        </references>
      </pivotArea>
    </chartFormat>
    <chartFormat chart="8" format="15">
      <pivotArea type="data" outline="0" fieldPosition="0">
        <references count="3">
          <reference field="4294967294" count="1" selected="0">
            <x v="0"/>
          </reference>
          <reference field="12" count="1" selected="0">
            <x v="0"/>
          </reference>
          <reference field="13" count="1" selected="0">
            <x v="1"/>
          </reference>
        </references>
      </pivotArea>
    </chartFormat>
    <chartFormat chart="8" format="16">
      <pivotArea type="data" outline="0" fieldPosition="0">
        <references count="3">
          <reference field="4294967294" count="1" selected="0">
            <x v="0"/>
          </reference>
          <reference field="12" count="1" selected="0">
            <x v="1"/>
          </reference>
          <reference field="13" count="1" selected="0">
            <x v="1"/>
          </reference>
        </references>
      </pivotArea>
    </chartFormat>
    <chartFormat chart="8" format="17">
      <pivotArea type="data" outline="0" fieldPosition="0">
        <references count="3">
          <reference field="4294967294" count="1" selected="0">
            <x v="0"/>
          </reference>
          <reference field="12" count="1" selected="0">
            <x v="2"/>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EFA4F96-15D6-439E-BCC0-2F5A38C3AD12}" name="PivotTable6"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7:D24" firstHeaderRow="1" firstDataRow="2" firstDataCol="1"/>
  <pivotFields count="14">
    <pivotField showAll="0"/>
    <pivotField showAll="0">
      <items count="3">
        <item x="0"/>
        <item x="1"/>
        <item t="default"/>
      </items>
    </pivotField>
    <pivotField showAll="0"/>
    <pivotField numFmtId="168"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C546D1F-A8AE-42AC-B142-4B02429560F1}" name="PivotTable5"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8" showAll="0"/>
    <pivotField showAll="0"/>
    <pivotField showAll="0">
      <items count="6">
        <item x="0"/>
        <item x="4"/>
        <item x="2"/>
        <item x="1"/>
        <item x="3"/>
        <item t="default"/>
      </items>
    </pivotField>
    <pivotField showAll="0"/>
    <pivotField showAll="0">
      <items count="3">
        <item x="1"/>
        <item x="0"/>
        <item t="default"/>
      </items>
    </pivotField>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1" numFmtId="168"/>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6181530E-5FC2-40EF-B2F2-B902A424973A}" sourceName="Marital Status">
  <pivotTables>
    <pivotTable tabId="3" name="PivotTable5"/>
    <pivotTable tabId="3" name="PivotTable6"/>
    <pivotTable tabId="3" name="PivotTable8"/>
  </pivotTables>
  <data>
    <tabular pivotCacheId="197774253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D9A19854-97E6-4FC7-A05D-6932346DCB1A}" sourceName="Education">
  <pivotTables>
    <pivotTable tabId="3" name="PivotTable5"/>
    <pivotTable tabId="3" name="PivotTable6"/>
    <pivotTable tabId="3" name="PivotTable8"/>
  </pivotTables>
  <data>
    <tabular pivotCacheId="1977742537">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A5A4960-BB80-4388-836A-5FCD4D26F2E1}" sourceName="Region">
  <pivotTables>
    <pivotTable tabId="3" name="PivotTable5"/>
    <pivotTable tabId="3" name="PivotTable6"/>
    <pivotTable tabId="3" name="PivotTable8"/>
  </pivotTables>
  <data>
    <tabular pivotCacheId="1977742537">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me_Owner" xr10:uid="{81AD373D-911F-4287-8115-08AF537047A9}" sourceName="Home Owner">
  <pivotTables>
    <pivotTable tabId="3" name="PivotTable5"/>
  </pivotTables>
  <data>
    <tabular pivotCacheId="1977742537">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4615EE7C-D531-4F44-93C8-28DA5B550B99}" cache="Slicer_Marital_Status" caption="Marital Status" style="SlicerStyleOther1" rowHeight="234950"/>
  <slicer name="Education" xr10:uid="{34FD0086-F5C6-4C46-ACB7-25C3CA783D8A}" cache="Slicer_Education" caption="Education" style="SlicerStyleOther1" rowHeight="234950"/>
  <slicer name="Region" xr10:uid="{B3398BFC-5608-4C4B-ACAD-1CD566BEC3A5}" cache="Slicer_Region" caption="Region" style="SlicerStyleOther1" rowHeight="234950"/>
  <slicer name="Home Owner" xr10:uid="{FDEB7A9C-E9D6-4B17-B2E0-97F4EE300E21}" cache="Slicer_Home_Owner" caption="Home Owner" style="SlicerStyleOther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O10" sqref="O10"/>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A8033-1320-4FDF-B96F-F37C9B1AF505}">
  <dimension ref="A1:N1027"/>
  <sheetViews>
    <sheetView workbookViewId="0">
      <selection activeCell="B1" sqref="B1:B1048576"/>
    </sheetView>
  </sheetViews>
  <sheetFormatPr defaultColWidth="14.109375" defaultRowHeight="14.4" x14ac:dyDescent="0.3"/>
  <cols>
    <col min="3" max="3" width="9.33203125" customWidth="1"/>
    <col min="4" max="4" width="14.109375" style="3"/>
    <col min="5" max="5" width="14.109375"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38</v>
      </c>
      <c r="D2" s="3">
        <v>40000</v>
      </c>
      <c r="E2">
        <v>1</v>
      </c>
      <c r="F2" t="s">
        <v>13</v>
      </c>
      <c r="G2" t="s">
        <v>14</v>
      </c>
      <c r="H2" t="s">
        <v>15</v>
      </c>
      <c r="I2">
        <v>0</v>
      </c>
      <c r="J2" t="s">
        <v>16</v>
      </c>
      <c r="K2" t="s">
        <v>17</v>
      </c>
      <c r="L2">
        <v>42</v>
      </c>
      <c r="M2" t="str" cm="1">
        <f t="array" ref="M2">_xlfn.IFS(AND(L2&gt;=31,L2&lt;=54),"Middle Age",L2&lt;31,"Adolescent",L2&gt;54,"Old")</f>
        <v>Middle Age</v>
      </c>
      <c r="N2" t="s">
        <v>18</v>
      </c>
    </row>
    <row r="3" spans="1:14" x14ac:dyDescent="0.3">
      <c r="A3">
        <v>24107</v>
      </c>
      <c r="B3" t="s">
        <v>36</v>
      </c>
      <c r="C3" t="s">
        <v>39</v>
      </c>
      <c r="D3" s="3">
        <v>30000</v>
      </c>
      <c r="E3">
        <v>3</v>
      </c>
      <c r="F3" t="s">
        <v>19</v>
      </c>
      <c r="G3" t="s">
        <v>20</v>
      </c>
      <c r="H3" t="s">
        <v>15</v>
      </c>
      <c r="I3">
        <v>1</v>
      </c>
      <c r="J3" t="s">
        <v>16</v>
      </c>
      <c r="K3" t="s">
        <v>17</v>
      </c>
      <c r="L3">
        <v>43</v>
      </c>
      <c r="M3" t="str" cm="1">
        <f t="array" ref="M3">_xlfn.IFS(AND(L3&gt;=31,L3&lt;=54),"Middle Age",L3&lt;31,"Adolescent",L3&gt;54,"Old")</f>
        <v>Middle Age</v>
      </c>
      <c r="N3" t="s">
        <v>18</v>
      </c>
    </row>
    <row r="4" spans="1:14" x14ac:dyDescent="0.3">
      <c r="A4">
        <v>14177</v>
      </c>
      <c r="B4" t="s">
        <v>36</v>
      </c>
      <c r="C4" t="s">
        <v>39</v>
      </c>
      <c r="D4" s="3">
        <v>80000</v>
      </c>
      <c r="E4">
        <v>5</v>
      </c>
      <c r="F4" t="s">
        <v>19</v>
      </c>
      <c r="G4" t="s">
        <v>21</v>
      </c>
      <c r="H4" t="s">
        <v>18</v>
      </c>
      <c r="I4">
        <v>2</v>
      </c>
      <c r="J4" t="s">
        <v>22</v>
      </c>
      <c r="K4" t="s">
        <v>17</v>
      </c>
      <c r="L4">
        <v>60</v>
      </c>
      <c r="M4" t="str" cm="1">
        <f t="array" ref="M4">_xlfn.IFS(AND(L4&gt;=31,L4&lt;=54),"Middle Age",L4&lt;31,"Adolescent",L4&gt;54,"Old")</f>
        <v>Old</v>
      </c>
      <c r="N4" t="s">
        <v>18</v>
      </c>
    </row>
    <row r="5" spans="1:14" x14ac:dyDescent="0.3">
      <c r="A5">
        <v>24381</v>
      </c>
      <c r="B5" t="s">
        <v>37</v>
      </c>
      <c r="C5" t="s">
        <v>39</v>
      </c>
      <c r="D5" s="3">
        <v>70000</v>
      </c>
      <c r="E5">
        <v>0</v>
      </c>
      <c r="F5" t="s">
        <v>13</v>
      </c>
      <c r="G5" t="s">
        <v>21</v>
      </c>
      <c r="H5" t="s">
        <v>15</v>
      </c>
      <c r="I5">
        <v>1</v>
      </c>
      <c r="J5" t="s">
        <v>23</v>
      </c>
      <c r="K5" t="s">
        <v>24</v>
      </c>
      <c r="L5">
        <v>41</v>
      </c>
      <c r="M5" t="str" cm="1">
        <f t="array" ref="M5">_xlfn.IFS(AND(L5&gt;=31,L5&lt;=54),"Middle Age",L5&lt;31,"Adolescent",L5&gt;54,"Old")</f>
        <v>Middle Age</v>
      </c>
      <c r="N5" t="s">
        <v>15</v>
      </c>
    </row>
    <row r="6" spans="1:14" x14ac:dyDescent="0.3">
      <c r="A6">
        <v>25597</v>
      </c>
      <c r="B6" t="s">
        <v>37</v>
      </c>
      <c r="C6" t="s">
        <v>39</v>
      </c>
      <c r="D6" s="3">
        <v>30000</v>
      </c>
      <c r="E6">
        <v>0</v>
      </c>
      <c r="F6" t="s">
        <v>13</v>
      </c>
      <c r="G6" t="s">
        <v>20</v>
      </c>
      <c r="H6" t="s">
        <v>18</v>
      </c>
      <c r="I6">
        <v>0</v>
      </c>
      <c r="J6" t="s">
        <v>16</v>
      </c>
      <c r="K6" t="s">
        <v>17</v>
      </c>
      <c r="L6">
        <v>36</v>
      </c>
      <c r="M6" t="str" cm="1">
        <f t="array" ref="M6">_xlfn.IFS(AND(L6&gt;=31,L6&lt;=54),"Middle Age",L6&lt;31,"Adolescent",L6&gt;54,"Old")</f>
        <v>Middle Age</v>
      </c>
      <c r="N6" t="s">
        <v>15</v>
      </c>
    </row>
    <row r="7" spans="1:14" x14ac:dyDescent="0.3">
      <c r="A7">
        <v>13507</v>
      </c>
      <c r="B7" t="s">
        <v>36</v>
      </c>
      <c r="C7" t="s">
        <v>38</v>
      </c>
      <c r="D7" s="3">
        <v>10000</v>
      </c>
      <c r="E7">
        <v>2</v>
      </c>
      <c r="F7" t="s">
        <v>19</v>
      </c>
      <c r="G7" t="s">
        <v>25</v>
      </c>
      <c r="H7" t="s">
        <v>15</v>
      </c>
      <c r="I7">
        <v>0</v>
      </c>
      <c r="J7" t="s">
        <v>26</v>
      </c>
      <c r="K7" t="s">
        <v>17</v>
      </c>
      <c r="L7">
        <v>50</v>
      </c>
      <c r="M7" t="str" cm="1">
        <f t="array" ref="M7">_xlfn.IFS(AND(L7&gt;=31,L7&lt;=54),"Middle Age",L7&lt;31,"Adolescent",L7&gt;54,"Old")</f>
        <v>Middle Age</v>
      </c>
      <c r="N7" t="s">
        <v>18</v>
      </c>
    </row>
    <row r="8" spans="1:14" x14ac:dyDescent="0.3">
      <c r="A8">
        <v>27974</v>
      </c>
      <c r="B8" t="s">
        <v>37</v>
      </c>
      <c r="C8" t="s">
        <v>39</v>
      </c>
      <c r="D8" s="3">
        <v>160000</v>
      </c>
      <c r="E8">
        <v>2</v>
      </c>
      <c r="F8" t="s">
        <v>27</v>
      </c>
      <c r="G8" t="s">
        <v>28</v>
      </c>
      <c r="H8" t="s">
        <v>15</v>
      </c>
      <c r="I8">
        <v>4</v>
      </c>
      <c r="J8" t="s">
        <v>16</v>
      </c>
      <c r="K8" t="s">
        <v>24</v>
      </c>
      <c r="L8">
        <v>33</v>
      </c>
      <c r="M8" t="str" cm="1">
        <f t="array" ref="M8">_xlfn.IFS(AND(L8&gt;=31,L8&lt;=54),"Middle Age",L8&lt;31,"Adolescent",L8&gt;54,"Old")</f>
        <v>Middle Age</v>
      </c>
      <c r="N8" t="s">
        <v>15</v>
      </c>
    </row>
    <row r="9" spans="1:14" x14ac:dyDescent="0.3">
      <c r="A9">
        <v>19364</v>
      </c>
      <c r="B9" t="s">
        <v>36</v>
      </c>
      <c r="C9" t="s">
        <v>39</v>
      </c>
      <c r="D9" s="3">
        <v>40000</v>
      </c>
      <c r="E9">
        <v>1</v>
      </c>
      <c r="F9" t="s">
        <v>13</v>
      </c>
      <c r="G9" t="s">
        <v>14</v>
      </c>
      <c r="H9" t="s">
        <v>15</v>
      </c>
      <c r="I9">
        <v>0</v>
      </c>
      <c r="J9" t="s">
        <v>16</v>
      </c>
      <c r="K9" t="s">
        <v>17</v>
      </c>
      <c r="L9">
        <v>43</v>
      </c>
      <c r="M9" t="str" cm="1">
        <f t="array" ref="M9">_xlfn.IFS(AND(L9&gt;=31,L9&lt;=54),"Middle Age",L9&lt;31,"Adolescent",L9&gt;54,"Old")</f>
        <v>Middle Age</v>
      </c>
      <c r="N9" t="s">
        <v>15</v>
      </c>
    </row>
    <row r="10" spans="1:14" x14ac:dyDescent="0.3">
      <c r="A10">
        <v>22155</v>
      </c>
      <c r="B10" t="s">
        <v>36</v>
      </c>
      <c r="C10" t="s">
        <v>39</v>
      </c>
      <c r="D10" s="3">
        <v>20000</v>
      </c>
      <c r="E10">
        <v>2</v>
      </c>
      <c r="F10" t="s">
        <v>29</v>
      </c>
      <c r="G10" t="s">
        <v>20</v>
      </c>
      <c r="H10" t="s">
        <v>15</v>
      </c>
      <c r="I10">
        <v>2</v>
      </c>
      <c r="J10" t="s">
        <v>23</v>
      </c>
      <c r="K10" t="s">
        <v>24</v>
      </c>
      <c r="L10">
        <v>58</v>
      </c>
      <c r="M10" t="str" cm="1">
        <f t="array" ref="M10">_xlfn.IFS(AND(L10&gt;=31,L10&lt;=54),"Middle Age",L10&lt;31,"Adolescent",L10&gt;54,"Old")</f>
        <v>Old</v>
      </c>
      <c r="N10" t="s">
        <v>18</v>
      </c>
    </row>
    <row r="11" spans="1:14" x14ac:dyDescent="0.3">
      <c r="A11">
        <v>19280</v>
      </c>
      <c r="B11" t="s">
        <v>36</v>
      </c>
      <c r="C11" t="s">
        <v>39</v>
      </c>
      <c r="D11" s="3">
        <v>120000</v>
      </c>
      <c r="E11">
        <v>2</v>
      </c>
      <c r="F11" t="s">
        <v>19</v>
      </c>
      <c r="G11" t="s">
        <v>25</v>
      </c>
      <c r="H11" t="s">
        <v>15</v>
      </c>
      <c r="I11">
        <v>1</v>
      </c>
      <c r="J11" t="s">
        <v>16</v>
      </c>
      <c r="K11" t="s">
        <v>17</v>
      </c>
      <c r="L11">
        <v>40</v>
      </c>
      <c r="M11" t="str" cm="1">
        <f t="array" ref="M11">_xlfn.IFS(AND(L11&gt;=31,L11&lt;=54),"Middle Age",L11&lt;31,"Adolescent",L11&gt;54,"Old")</f>
        <v>Middle Age</v>
      </c>
      <c r="N11" t="s">
        <v>15</v>
      </c>
    </row>
    <row r="12" spans="1:14" x14ac:dyDescent="0.3">
      <c r="A12">
        <v>22173</v>
      </c>
      <c r="B12" t="s">
        <v>36</v>
      </c>
      <c r="C12" t="s">
        <v>38</v>
      </c>
      <c r="D12" s="3">
        <v>30000</v>
      </c>
      <c r="E12">
        <v>3</v>
      </c>
      <c r="F12" t="s">
        <v>27</v>
      </c>
      <c r="G12" t="s">
        <v>14</v>
      </c>
      <c r="H12" t="s">
        <v>18</v>
      </c>
      <c r="I12">
        <v>2</v>
      </c>
      <c r="J12" t="s">
        <v>26</v>
      </c>
      <c r="K12" t="s">
        <v>24</v>
      </c>
      <c r="L12">
        <v>54</v>
      </c>
      <c r="M12" t="str" cm="1">
        <f t="array" ref="M12">_xlfn.IFS(AND(L12&gt;=31,L12&lt;=54),"Middle Age",L12&lt;31,"Adolescent",L12&gt;54,"Old")</f>
        <v>Middle Age</v>
      </c>
      <c r="N12" t="s">
        <v>15</v>
      </c>
    </row>
    <row r="13" spans="1:14" x14ac:dyDescent="0.3">
      <c r="A13">
        <v>12697</v>
      </c>
      <c r="B13" t="s">
        <v>37</v>
      </c>
      <c r="C13" t="s">
        <v>38</v>
      </c>
      <c r="D13" s="3">
        <v>90000</v>
      </c>
      <c r="E13">
        <v>0</v>
      </c>
      <c r="F13" t="s">
        <v>13</v>
      </c>
      <c r="G13" t="s">
        <v>21</v>
      </c>
      <c r="H13" t="s">
        <v>18</v>
      </c>
      <c r="I13">
        <v>4</v>
      </c>
      <c r="J13" t="s">
        <v>46</v>
      </c>
      <c r="K13" t="s">
        <v>24</v>
      </c>
      <c r="L13">
        <v>36</v>
      </c>
      <c r="M13" t="str" cm="1">
        <f t="array" ref="M13">_xlfn.IFS(AND(L13&gt;=31,L13&lt;=54),"Middle Age",L13&lt;31,"Adolescent",L13&gt;54,"Old")</f>
        <v>Middle Age</v>
      </c>
      <c r="N13" t="s">
        <v>18</v>
      </c>
    </row>
    <row r="14" spans="1:14" x14ac:dyDescent="0.3">
      <c r="A14">
        <v>11434</v>
      </c>
      <c r="B14" t="s">
        <v>36</v>
      </c>
      <c r="C14" t="s">
        <v>39</v>
      </c>
      <c r="D14" s="3">
        <v>170000</v>
      </c>
      <c r="E14">
        <v>5</v>
      </c>
      <c r="F14" t="s">
        <v>19</v>
      </c>
      <c r="G14" t="s">
        <v>21</v>
      </c>
      <c r="H14" t="s">
        <v>15</v>
      </c>
      <c r="I14">
        <v>0</v>
      </c>
      <c r="J14" t="s">
        <v>16</v>
      </c>
      <c r="K14" t="s">
        <v>17</v>
      </c>
      <c r="L14">
        <v>55</v>
      </c>
      <c r="M14" t="str" cm="1">
        <f t="array" ref="M14">_xlfn.IFS(AND(L14&gt;=31,L14&lt;=54),"Middle Age",L14&lt;31,"Adolescent",L14&gt;54,"Old")</f>
        <v>Old</v>
      </c>
      <c r="N14" t="s">
        <v>18</v>
      </c>
    </row>
    <row r="15" spans="1:14" x14ac:dyDescent="0.3">
      <c r="A15">
        <v>25323</v>
      </c>
      <c r="B15" t="s">
        <v>36</v>
      </c>
      <c r="C15" t="s">
        <v>39</v>
      </c>
      <c r="D15" s="3">
        <v>40000</v>
      </c>
      <c r="E15">
        <v>2</v>
      </c>
      <c r="F15" t="s">
        <v>19</v>
      </c>
      <c r="G15" t="s">
        <v>20</v>
      </c>
      <c r="H15" t="s">
        <v>15</v>
      </c>
      <c r="I15">
        <v>1</v>
      </c>
      <c r="J15" t="s">
        <v>26</v>
      </c>
      <c r="K15" t="s">
        <v>17</v>
      </c>
      <c r="L15">
        <v>35</v>
      </c>
      <c r="M15" t="str" cm="1">
        <f t="array" ref="M15">_xlfn.IFS(AND(L15&gt;=31,L15&lt;=54),"Middle Age",L15&lt;31,"Adolescent",L15&gt;54,"Old")</f>
        <v>Middle Age</v>
      </c>
      <c r="N15" t="s">
        <v>15</v>
      </c>
    </row>
    <row r="16" spans="1:14" x14ac:dyDescent="0.3">
      <c r="A16">
        <v>23542</v>
      </c>
      <c r="B16" t="s">
        <v>37</v>
      </c>
      <c r="C16" t="s">
        <v>39</v>
      </c>
      <c r="D16" s="3">
        <v>60000</v>
      </c>
      <c r="E16">
        <v>1</v>
      </c>
      <c r="F16" t="s">
        <v>19</v>
      </c>
      <c r="G16" t="s">
        <v>14</v>
      </c>
      <c r="H16" t="s">
        <v>18</v>
      </c>
      <c r="I16">
        <v>1</v>
      </c>
      <c r="J16" t="s">
        <v>16</v>
      </c>
      <c r="K16" t="s">
        <v>24</v>
      </c>
      <c r="L16">
        <v>45</v>
      </c>
      <c r="M16" t="str" cm="1">
        <f t="array" ref="M16">_xlfn.IFS(AND(L16&gt;=31,L16&lt;=54),"Middle Age",L16&lt;31,"Adolescent",L16&gt;54,"Old")</f>
        <v>Middle Age</v>
      </c>
      <c r="N16" t="s">
        <v>15</v>
      </c>
    </row>
    <row r="17" spans="1:14" x14ac:dyDescent="0.3">
      <c r="A17">
        <v>20870</v>
      </c>
      <c r="B17" t="s">
        <v>37</v>
      </c>
      <c r="C17" t="s">
        <v>38</v>
      </c>
      <c r="D17" s="3">
        <v>10000</v>
      </c>
      <c r="E17">
        <v>2</v>
      </c>
      <c r="F17" t="s">
        <v>27</v>
      </c>
      <c r="G17" t="s">
        <v>25</v>
      </c>
      <c r="H17" t="s">
        <v>15</v>
      </c>
      <c r="I17">
        <v>1</v>
      </c>
      <c r="J17" t="s">
        <v>16</v>
      </c>
      <c r="K17" t="s">
        <v>17</v>
      </c>
      <c r="L17">
        <v>38</v>
      </c>
      <c r="M17" t="str" cm="1">
        <f t="array" ref="M17">_xlfn.IFS(AND(L17&gt;=31,L17&lt;=54),"Middle Age",L17&lt;31,"Adolescent",L17&gt;54,"Old")</f>
        <v>Middle Age</v>
      </c>
      <c r="N17" t="s">
        <v>15</v>
      </c>
    </row>
    <row r="18" spans="1:14" x14ac:dyDescent="0.3">
      <c r="A18">
        <v>23316</v>
      </c>
      <c r="B18" t="s">
        <v>37</v>
      </c>
      <c r="C18" t="s">
        <v>39</v>
      </c>
      <c r="D18" s="3">
        <v>30000</v>
      </c>
      <c r="E18">
        <v>3</v>
      </c>
      <c r="F18" t="s">
        <v>19</v>
      </c>
      <c r="G18" t="s">
        <v>20</v>
      </c>
      <c r="H18" t="s">
        <v>18</v>
      </c>
      <c r="I18">
        <v>2</v>
      </c>
      <c r="J18" t="s">
        <v>26</v>
      </c>
      <c r="K18" t="s">
        <v>24</v>
      </c>
      <c r="L18">
        <v>59</v>
      </c>
      <c r="M18" t="str" cm="1">
        <f t="array" ref="M18">_xlfn.IFS(AND(L18&gt;=31,L18&lt;=54),"Middle Age",L18&lt;31,"Adolescent",L18&gt;54,"Old")</f>
        <v>Old</v>
      </c>
      <c r="N18" t="s">
        <v>15</v>
      </c>
    </row>
    <row r="19" spans="1:14" x14ac:dyDescent="0.3">
      <c r="A19">
        <v>12610</v>
      </c>
      <c r="B19" t="s">
        <v>36</v>
      </c>
      <c r="C19" t="s">
        <v>38</v>
      </c>
      <c r="D19" s="3">
        <v>30000</v>
      </c>
      <c r="E19">
        <v>1</v>
      </c>
      <c r="F19" t="s">
        <v>13</v>
      </c>
      <c r="G19" t="s">
        <v>20</v>
      </c>
      <c r="H19" t="s">
        <v>15</v>
      </c>
      <c r="I19">
        <v>0</v>
      </c>
      <c r="J19" t="s">
        <v>16</v>
      </c>
      <c r="K19" t="s">
        <v>17</v>
      </c>
      <c r="L19">
        <v>47</v>
      </c>
      <c r="M19" t="str" cm="1">
        <f t="array" ref="M19">_xlfn.IFS(AND(L19&gt;=31,L19&lt;=54),"Middle Age",L19&lt;31,"Adolescent",L19&gt;54,"Old")</f>
        <v>Middle Age</v>
      </c>
      <c r="N19" t="s">
        <v>18</v>
      </c>
    </row>
    <row r="20" spans="1:14" x14ac:dyDescent="0.3">
      <c r="A20">
        <v>27183</v>
      </c>
      <c r="B20" t="s">
        <v>37</v>
      </c>
      <c r="C20" t="s">
        <v>39</v>
      </c>
      <c r="D20" s="3">
        <v>40000</v>
      </c>
      <c r="E20">
        <v>2</v>
      </c>
      <c r="F20" t="s">
        <v>19</v>
      </c>
      <c r="G20" t="s">
        <v>20</v>
      </c>
      <c r="H20" t="s">
        <v>15</v>
      </c>
      <c r="I20">
        <v>1</v>
      </c>
      <c r="J20" t="s">
        <v>26</v>
      </c>
      <c r="K20" t="s">
        <v>17</v>
      </c>
      <c r="L20">
        <v>35</v>
      </c>
      <c r="M20" t="str" cm="1">
        <f t="array" ref="M20">_xlfn.IFS(AND(L20&gt;=31,L20&lt;=54),"Middle Age",L20&lt;31,"Adolescent",L20&gt;54,"Old")</f>
        <v>Middle Age</v>
      </c>
      <c r="N20" t="s">
        <v>15</v>
      </c>
    </row>
    <row r="21" spans="1:14" x14ac:dyDescent="0.3">
      <c r="A21">
        <v>25940</v>
      </c>
      <c r="B21" t="s">
        <v>37</v>
      </c>
      <c r="C21" t="s">
        <v>39</v>
      </c>
      <c r="D21" s="3">
        <v>20000</v>
      </c>
      <c r="E21">
        <v>2</v>
      </c>
      <c r="F21" t="s">
        <v>29</v>
      </c>
      <c r="G21" t="s">
        <v>20</v>
      </c>
      <c r="H21" t="s">
        <v>15</v>
      </c>
      <c r="I21">
        <v>2</v>
      </c>
      <c r="J21" t="s">
        <v>23</v>
      </c>
      <c r="K21" t="s">
        <v>24</v>
      </c>
      <c r="L21">
        <v>55</v>
      </c>
      <c r="M21" t="str" cm="1">
        <f t="array" ref="M21">_xlfn.IFS(AND(L21&gt;=31,L21&lt;=54),"Middle Age",L21&lt;31,"Adolescent",L21&gt;54,"Old")</f>
        <v>Old</v>
      </c>
      <c r="N21" t="s">
        <v>15</v>
      </c>
    </row>
    <row r="22" spans="1:14" x14ac:dyDescent="0.3">
      <c r="A22">
        <v>25598</v>
      </c>
      <c r="B22" t="s">
        <v>36</v>
      </c>
      <c r="C22" t="s">
        <v>38</v>
      </c>
      <c r="D22" s="3">
        <v>40000</v>
      </c>
      <c r="E22">
        <v>0</v>
      </c>
      <c r="F22" t="s">
        <v>31</v>
      </c>
      <c r="G22" t="s">
        <v>20</v>
      </c>
      <c r="H22" t="s">
        <v>15</v>
      </c>
      <c r="I22">
        <v>0</v>
      </c>
      <c r="J22" t="s">
        <v>16</v>
      </c>
      <c r="K22" t="s">
        <v>17</v>
      </c>
      <c r="L22">
        <v>36</v>
      </c>
      <c r="M22" t="str" cm="1">
        <f t="array" ref="M22">_xlfn.IFS(AND(L22&gt;=31,L22&lt;=54),"Middle Age",L22&lt;31,"Adolescent",L22&gt;54,"Old")</f>
        <v>Middle Age</v>
      </c>
      <c r="N22" t="s">
        <v>15</v>
      </c>
    </row>
    <row r="23" spans="1:14" x14ac:dyDescent="0.3">
      <c r="A23">
        <v>21564</v>
      </c>
      <c r="B23" t="s">
        <v>37</v>
      </c>
      <c r="C23" t="s">
        <v>38</v>
      </c>
      <c r="D23" s="3">
        <v>80000</v>
      </c>
      <c r="E23">
        <v>0</v>
      </c>
      <c r="F23" t="s">
        <v>13</v>
      </c>
      <c r="G23" t="s">
        <v>21</v>
      </c>
      <c r="H23" t="s">
        <v>15</v>
      </c>
      <c r="I23">
        <v>4</v>
      </c>
      <c r="J23" t="s">
        <v>46</v>
      </c>
      <c r="K23" t="s">
        <v>24</v>
      </c>
      <c r="L23">
        <v>35</v>
      </c>
      <c r="M23" t="str" cm="1">
        <f t="array" ref="M23">_xlfn.IFS(AND(L23&gt;=31,L23&lt;=54),"Middle Age",L23&lt;31,"Adolescent",L23&gt;54,"Old")</f>
        <v>Middle Age</v>
      </c>
      <c r="N23" t="s">
        <v>18</v>
      </c>
    </row>
    <row r="24" spans="1:14" x14ac:dyDescent="0.3">
      <c r="A24">
        <v>19193</v>
      </c>
      <c r="B24" t="s">
        <v>37</v>
      </c>
      <c r="C24" t="s">
        <v>39</v>
      </c>
      <c r="D24" s="3">
        <v>40000</v>
      </c>
      <c r="E24">
        <v>2</v>
      </c>
      <c r="F24" t="s">
        <v>19</v>
      </c>
      <c r="G24" t="s">
        <v>20</v>
      </c>
      <c r="H24" t="s">
        <v>15</v>
      </c>
      <c r="I24">
        <v>0</v>
      </c>
      <c r="J24" t="s">
        <v>26</v>
      </c>
      <c r="K24" t="s">
        <v>17</v>
      </c>
      <c r="L24">
        <v>35</v>
      </c>
      <c r="M24" t="str" cm="1">
        <f t="array" ref="M24">_xlfn.IFS(AND(L24&gt;=31,L24&lt;=54),"Middle Age",L24&lt;31,"Adolescent",L24&gt;54,"Old")</f>
        <v>Middle Age</v>
      </c>
      <c r="N24" t="s">
        <v>15</v>
      </c>
    </row>
    <row r="25" spans="1:14" x14ac:dyDescent="0.3">
      <c r="A25">
        <v>26412</v>
      </c>
      <c r="B25" t="s">
        <v>36</v>
      </c>
      <c r="C25" t="s">
        <v>38</v>
      </c>
      <c r="D25" s="3">
        <v>80000</v>
      </c>
      <c r="E25">
        <v>5</v>
      </c>
      <c r="F25" t="s">
        <v>27</v>
      </c>
      <c r="G25" t="s">
        <v>28</v>
      </c>
      <c r="H25" t="s">
        <v>18</v>
      </c>
      <c r="I25">
        <v>3</v>
      </c>
      <c r="J25" t="s">
        <v>23</v>
      </c>
      <c r="K25" t="s">
        <v>17</v>
      </c>
      <c r="L25">
        <v>56</v>
      </c>
      <c r="M25" t="str" cm="1">
        <f t="array" ref="M25">_xlfn.IFS(AND(L25&gt;=31,L25&lt;=54),"Middle Age",L25&lt;31,"Adolescent",L25&gt;54,"Old")</f>
        <v>Old</v>
      </c>
      <c r="N25" t="s">
        <v>18</v>
      </c>
    </row>
    <row r="26" spans="1:14" x14ac:dyDescent="0.3">
      <c r="A26">
        <v>27184</v>
      </c>
      <c r="B26" t="s">
        <v>37</v>
      </c>
      <c r="C26" t="s">
        <v>39</v>
      </c>
      <c r="D26" s="3">
        <v>40000</v>
      </c>
      <c r="E26">
        <v>2</v>
      </c>
      <c r="F26" t="s">
        <v>19</v>
      </c>
      <c r="G26" t="s">
        <v>20</v>
      </c>
      <c r="H26" t="s">
        <v>18</v>
      </c>
      <c r="I26">
        <v>1</v>
      </c>
      <c r="J26" t="s">
        <v>16</v>
      </c>
      <c r="K26" t="s">
        <v>17</v>
      </c>
      <c r="L26">
        <v>34</v>
      </c>
      <c r="M26" t="str" cm="1">
        <f t="array" ref="M26">_xlfn.IFS(AND(L26&gt;=31,L26&lt;=54),"Middle Age",L26&lt;31,"Adolescent",L26&gt;54,"Old")</f>
        <v>Middle Age</v>
      </c>
      <c r="N26" t="s">
        <v>18</v>
      </c>
    </row>
    <row r="27" spans="1:14" x14ac:dyDescent="0.3">
      <c r="A27">
        <v>12590</v>
      </c>
      <c r="B27" t="s">
        <v>37</v>
      </c>
      <c r="C27" t="s">
        <v>39</v>
      </c>
      <c r="D27" s="3">
        <v>30000</v>
      </c>
      <c r="E27">
        <v>1</v>
      </c>
      <c r="F27" t="s">
        <v>13</v>
      </c>
      <c r="G27" t="s">
        <v>20</v>
      </c>
      <c r="H27" t="s">
        <v>15</v>
      </c>
      <c r="I27">
        <v>0</v>
      </c>
      <c r="J27" t="s">
        <v>16</v>
      </c>
      <c r="K27" t="s">
        <v>17</v>
      </c>
      <c r="L27">
        <v>63</v>
      </c>
      <c r="M27" t="str" cm="1">
        <f t="array" ref="M27">_xlfn.IFS(AND(L27&gt;=31,L27&lt;=54),"Middle Age",L27&lt;31,"Adolescent",L27&gt;54,"Old")</f>
        <v>Old</v>
      </c>
      <c r="N27" t="s">
        <v>18</v>
      </c>
    </row>
    <row r="28" spans="1:14" x14ac:dyDescent="0.3">
      <c r="A28">
        <v>17841</v>
      </c>
      <c r="B28" t="s">
        <v>37</v>
      </c>
      <c r="C28" t="s">
        <v>39</v>
      </c>
      <c r="D28" s="3">
        <v>30000</v>
      </c>
      <c r="E28">
        <v>0</v>
      </c>
      <c r="F28" t="s">
        <v>19</v>
      </c>
      <c r="G28" t="s">
        <v>20</v>
      </c>
      <c r="H28" t="s">
        <v>18</v>
      </c>
      <c r="I28">
        <v>1</v>
      </c>
      <c r="J28" t="s">
        <v>16</v>
      </c>
      <c r="K28" t="s">
        <v>17</v>
      </c>
      <c r="L28">
        <v>29</v>
      </c>
      <c r="M28" t="str" cm="1">
        <f t="array" ref="M28">_xlfn.IFS(AND(L28&gt;=31,L28&lt;=54),"Middle Age",L28&lt;31,"Adolescent",L28&gt;54,"Old")</f>
        <v>Adolescent</v>
      </c>
      <c r="N28" t="s">
        <v>15</v>
      </c>
    </row>
    <row r="29" spans="1:14" x14ac:dyDescent="0.3">
      <c r="A29">
        <v>18283</v>
      </c>
      <c r="B29" t="s">
        <v>37</v>
      </c>
      <c r="C29" t="s">
        <v>38</v>
      </c>
      <c r="D29" s="3">
        <v>100000</v>
      </c>
      <c r="E29">
        <v>0</v>
      </c>
      <c r="F29" t="s">
        <v>13</v>
      </c>
      <c r="G29" t="s">
        <v>21</v>
      </c>
      <c r="H29" t="s">
        <v>18</v>
      </c>
      <c r="I29">
        <v>1</v>
      </c>
      <c r="J29" t="s">
        <v>23</v>
      </c>
      <c r="K29" t="s">
        <v>24</v>
      </c>
      <c r="L29">
        <v>40</v>
      </c>
      <c r="M29" t="str" cm="1">
        <f t="array" ref="M29">_xlfn.IFS(AND(L29&gt;=31,L29&lt;=54),"Middle Age",L29&lt;31,"Adolescent",L29&gt;54,"Old")</f>
        <v>Middle Age</v>
      </c>
      <c r="N29" t="s">
        <v>18</v>
      </c>
    </row>
    <row r="30" spans="1:14" x14ac:dyDescent="0.3">
      <c r="A30">
        <v>18299</v>
      </c>
      <c r="B30" t="s">
        <v>36</v>
      </c>
      <c r="C30" t="s">
        <v>39</v>
      </c>
      <c r="D30" s="3">
        <v>70000</v>
      </c>
      <c r="E30">
        <v>5</v>
      </c>
      <c r="F30" t="s">
        <v>19</v>
      </c>
      <c r="G30" t="s">
        <v>14</v>
      </c>
      <c r="H30" t="s">
        <v>15</v>
      </c>
      <c r="I30">
        <v>2</v>
      </c>
      <c r="J30" t="s">
        <v>23</v>
      </c>
      <c r="K30" t="s">
        <v>24</v>
      </c>
      <c r="L30">
        <v>44</v>
      </c>
      <c r="M30" t="str" cm="1">
        <f t="array" ref="M30">_xlfn.IFS(AND(L30&gt;=31,L30&lt;=54),"Middle Age",L30&lt;31,"Adolescent",L30&gt;54,"Old")</f>
        <v>Middle Age</v>
      </c>
      <c r="N30" t="s">
        <v>18</v>
      </c>
    </row>
    <row r="31" spans="1:14" x14ac:dyDescent="0.3">
      <c r="A31">
        <v>16466</v>
      </c>
      <c r="B31" t="s">
        <v>37</v>
      </c>
      <c r="C31" t="s">
        <v>38</v>
      </c>
      <c r="D31" s="3">
        <v>20000</v>
      </c>
      <c r="E31">
        <v>0</v>
      </c>
      <c r="F31" t="s">
        <v>29</v>
      </c>
      <c r="G31" t="s">
        <v>25</v>
      </c>
      <c r="H31" t="s">
        <v>18</v>
      </c>
      <c r="I31">
        <v>2</v>
      </c>
      <c r="J31" t="s">
        <v>16</v>
      </c>
      <c r="K31" t="s">
        <v>17</v>
      </c>
      <c r="L31">
        <v>32</v>
      </c>
      <c r="M31" t="str" cm="1">
        <f t="array" ref="M31">_xlfn.IFS(AND(L31&gt;=31,L31&lt;=54),"Middle Age",L31&lt;31,"Adolescent",L31&gt;54,"Old")</f>
        <v>Middle Age</v>
      </c>
      <c r="N31" t="s">
        <v>15</v>
      </c>
    </row>
    <row r="32" spans="1:14" x14ac:dyDescent="0.3">
      <c r="A32">
        <v>19273</v>
      </c>
      <c r="B32" t="s">
        <v>36</v>
      </c>
      <c r="C32" t="s">
        <v>38</v>
      </c>
      <c r="D32" s="3">
        <v>20000</v>
      </c>
      <c r="E32">
        <v>2</v>
      </c>
      <c r="F32" t="s">
        <v>19</v>
      </c>
      <c r="G32" t="s">
        <v>25</v>
      </c>
      <c r="H32" t="s">
        <v>15</v>
      </c>
      <c r="I32">
        <v>0</v>
      </c>
      <c r="J32" t="s">
        <v>16</v>
      </c>
      <c r="K32" t="s">
        <v>17</v>
      </c>
      <c r="L32">
        <v>63</v>
      </c>
      <c r="M32" t="str" cm="1">
        <f t="array" ref="M32">_xlfn.IFS(AND(L32&gt;=31,L32&lt;=54),"Middle Age",L32&lt;31,"Adolescent",L32&gt;54,"Old")</f>
        <v>Old</v>
      </c>
      <c r="N32" t="s">
        <v>18</v>
      </c>
    </row>
    <row r="33" spans="1:14" x14ac:dyDescent="0.3">
      <c r="A33">
        <v>22400</v>
      </c>
      <c r="B33" t="s">
        <v>36</v>
      </c>
      <c r="C33" t="s">
        <v>39</v>
      </c>
      <c r="D33" s="3">
        <v>10000</v>
      </c>
      <c r="E33">
        <v>0</v>
      </c>
      <c r="F33" t="s">
        <v>19</v>
      </c>
      <c r="G33" t="s">
        <v>25</v>
      </c>
      <c r="H33" t="s">
        <v>18</v>
      </c>
      <c r="I33">
        <v>1</v>
      </c>
      <c r="J33" t="s">
        <v>16</v>
      </c>
      <c r="K33" t="s">
        <v>24</v>
      </c>
      <c r="L33">
        <v>26</v>
      </c>
      <c r="M33" t="str" cm="1">
        <f t="array" ref="M33">_xlfn.IFS(AND(L33&gt;=31,L33&lt;=54),"Middle Age",L33&lt;31,"Adolescent",L33&gt;54,"Old")</f>
        <v>Adolescent</v>
      </c>
      <c r="N33" t="s">
        <v>15</v>
      </c>
    </row>
    <row r="34" spans="1:14" x14ac:dyDescent="0.3">
      <c r="A34">
        <v>20942</v>
      </c>
      <c r="B34" t="s">
        <v>37</v>
      </c>
      <c r="C34" t="s">
        <v>38</v>
      </c>
      <c r="D34" s="3">
        <v>20000</v>
      </c>
      <c r="E34">
        <v>0</v>
      </c>
      <c r="F34" t="s">
        <v>27</v>
      </c>
      <c r="G34" t="s">
        <v>25</v>
      </c>
      <c r="H34" t="s">
        <v>18</v>
      </c>
      <c r="I34">
        <v>1</v>
      </c>
      <c r="J34" t="s">
        <v>23</v>
      </c>
      <c r="K34" t="s">
        <v>17</v>
      </c>
      <c r="L34">
        <v>31</v>
      </c>
      <c r="M34" t="str" cm="1">
        <f t="array" ref="M34">_xlfn.IFS(AND(L34&gt;=31,L34&lt;=54),"Middle Age",L34&lt;31,"Adolescent",L34&gt;54,"Old")</f>
        <v>Middle Age</v>
      </c>
      <c r="N34" t="s">
        <v>18</v>
      </c>
    </row>
    <row r="35" spans="1:14" x14ac:dyDescent="0.3">
      <c r="A35">
        <v>18484</v>
      </c>
      <c r="B35" t="s">
        <v>37</v>
      </c>
      <c r="C35" t="s">
        <v>39</v>
      </c>
      <c r="D35" s="3">
        <v>80000</v>
      </c>
      <c r="E35">
        <v>2</v>
      </c>
      <c r="F35" t="s">
        <v>27</v>
      </c>
      <c r="G35" t="s">
        <v>14</v>
      </c>
      <c r="H35" t="s">
        <v>18</v>
      </c>
      <c r="I35">
        <v>2</v>
      </c>
      <c r="J35" t="s">
        <v>26</v>
      </c>
      <c r="K35" t="s">
        <v>24</v>
      </c>
      <c r="L35">
        <v>50</v>
      </c>
      <c r="M35" t="str" cm="1">
        <f t="array" ref="M35">_xlfn.IFS(AND(L35&gt;=31,L35&lt;=54),"Middle Age",L35&lt;31,"Adolescent",L35&gt;54,"Old")</f>
        <v>Middle Age</v>
      </c>
      <c r="N35" t="s">
        <v>15</v>
      </c>
    </row>
    <row r="36" spans="1:14" x14ac:dyDescent="0.3">
      <c r="A36">
        <v>12291</v>
      </c>
      <c r="B36" t="s">
        <v>37</v>
      </c>
      <c r="C36" t="s">
        <v>39</v>
      </c>
      <c r="D36" s="3">
        <v>90000</v>
      </c>
      <c r="E36">
        <v>5</v>
      </c>
      <c r="F36" t="s">
        <v>19</v>
      </c>
      <c r="G36" t="s">
        <v>21</v>
      </c>
      <c r="H36" t="s">
        <v>18</v>
      </c>
      <c r="I36">
        <v>2</v>
      </c>
      <c r="J36" t="s">
        <v>22</v>
      </c>
      <c r="K36" t="s">
        <v>17</v>
      </c>
      <c r="L36">
        <v>62</v>
      </c>
      <c r="M36" t="str" cm="1">
        <f t="array" ref="M36">_xlfn.IFS(AND(L36&gt;=31,L36&lt;=54),"Middle Age",L36&lt;31,"Adolescent",L36&gt;54,"Old")</f>
        <v>Old</v>
      </c>
      <c r="N36" t="s">
        <v>15</v>
      </c>
    </row>
    <row r="37" spans="1:14" x14ac:dyDescent="0.3">
      <c r="A37">
        <v>28380</v>
      </c>
      <c r="B37" t="s">
        <v>37</v>
      </c>
      <c r="C37" t="s">
        <v>38</v>
      </c>
      <c r="D37" s="3">
        <v>10000</v>
      </c>
      <c r="E37">
        <v>5</v>
      </c>
      <c r="F37" t="s">
        <v>29</v>
      </c>
      <c r="G37" t="s">
        <v>25</v>
      </c>
      <c r="H37" t="s">
        <v>18</v>
      </c>
      <c r="I37">
        <v>2</v>
      </c>
      <c r="J37" t="s">
        <v>16</v>
      </c>
      <c r="K37" t="s">
        <v>17</v>
      </c>
      <c r="L37">
        <v>41</v>
      </c>
      <c r="M37" t="str" cm="1">
        <f t="array" ref="M37">_xlfn.IFS(AND(L37&gt;=31,L37&lt;=54),"Middle Age",L37&lt;31,"Adolescent",L37&gt;54,"Old")</f>
        <v>Middle Age</v>
      </c>
      <c r="N37" t="s">
        <v>18</v>
      </c>
    </row>
    <row r="38" spans="1:14" x14ac:dyDescent="0.3">
      <c r="A38">
        <v>17891</v>
      </c>
      <c r="B38" t="s">
        <v>36</v>
      </c>
      <c r="C38" t="s">
        <v>38</v>
      </c>
      <c r="D38" s="3">
        <v>10000</v>
      </c>
      <c r="E38">
        <v>2</v>
      </c>
      <c r="F38" t="s">
        <v>19</v>
      </c>
      <c r="G38" t="s">
        <v>25</v>
      </c>
      <c r="H38" t="s">
        <v>15</v>
      </c>
      <c r="I38">
        <v>1</v>
      </c>
      <c r="J38" t="s">
        <v>16</v>
      </c>
      <c r="K38" t="s">
        <v>17</v>
      </c>
      <c r="L38">
        <v>50</v>
      </c>
      <c r="M38" t="str" cm="1">
        <f t="array" ref="M38">_xlfn.IFS(AND(L38&gt;=31,L38&lt;=54),"Middle Age",L38&lt;31,"Adolescent",L38&gt;54,"Old")</f>
        <v>Middle Age</v>
      </c>
      <c r="N38" t="s">
        <v>15</v>
      </c>
    </row>
    <row r="39" spans="1:14" x14ac:dyDescent="0.3">
      <c r="A39">
        <v>27832</v>
      </c>
      <c r="B39" t="s">
        <v>37</v>
      </c>
      <c r="C39" t="s">
        <v>38</v>
      </c>
      <c r="D39" s="3">
        <v>30000</v>
      </c>
      <c r="E39">
        <v>0</v>
      </c>
      <c r="F39" t="s">
        <v>19</v>
      </c>
      <c r="G39" t="s">
        <v>20</v>
      </c>
      <c r="H39" t="s">
        <v>18</v>
      </c>
      <c r="I39">
        <v>1</v>
      </c>
      <c r="J39" t="s">
        <v>22</v>
      </c>
      <c r="K39" t="s">
        <v>17</v>
      </c>
      <c r="L39">
        <v>30</v>
      </c>
      <c r="M39" t="str" cm="1">
        <f t="array" ref="M39">_xlfn.IFS(AND(L39&gt;=31,L39&lt;=54),"Middle Age",L39&lt;31,"Adolescent",L39&gt;54,"Old")</f>
        <v>Adolescent</v>
      </c>
      <c r="N39" t="s">
        <v>18</v>
      </c>
    </row>
    <row r="40" spans="1:14" x14ac:dyDescent="0.3">
      <c r="A40">
        <v>26863</v>
      </c>
      <c r="B40" t="s">
        <v>37</v>
      </c>
      <c r="C40" t="s">
        <v>39</v>
      </c>
      <c r="D40" s="3">
        <v>20000</v>
      </c>
      <c r="E40">
        <v>0</v>
      </c>
      <c r="F40" t="s">
        <v>27</v>
      </c>
      <c r="G40" t="s">
        <v>25</v>
      </c>
      <c r="H40" t="s">
        <v>18</v>
      </c>
      <c r="I40">
        <v>1</v>
      </c>
      <c r="J40" t="s">
        <v>22</v>
      </c>
      <c r="K40" t="s">
        <v>17</v>
      </c>
      <c r="L40">
        <v>28</v>
      </c>
      <c r="M40" t="str" cm="1">
        <f t="array" ref="M40">_xlfn.IFS(AND(L40&gt;=31,L40&lt;=54),"Middle Age",L40&lt;31,"Adolescent",L40&gt;54,"Old")</f>
        <v>Adolescent</v>
      </c>
      <c r="N40" t="s">
        <v>18</v>
      </c>
    </row>
    <row r="41" spans="1:14" x14ac:dyDescent="0.3">
      <c r="A41">
        <v>16259</v>
      </c>
      <c r="B41" t="s">
        <v>37</v>
      </c>
      <c r="C41" t="s">
        <v>38</v>
      </c>
      <c r="D41" s="3">
        <v>10000</v>
      </c>
      <c r="E41">
        <v>4</v>
      </c>
      <c r="F41" t="s">
        <v>29</v>
      </c>
      <c r="G41" t="s">
        <v>25</v>
      </c>
      <c r="H41" t="s">
        <v>15</v>
      </c>
      <c r="I41">
        <v>2</v>
      </c>
      <c r="J41" t="s">
        <v>16</v>
      </c>
      <c r="K41" t="s">
        <v>17</v>
      </c>
      <c r="L41">
        <v>40</v>
      </c>
      <c r="M41" t="str" cm="1">
        <f t="array" ref="M41">_xlfn.IFS(AND(L41&gt;=31,L41&lt;=54),"Middle Age",L41&lt;31,"Adolescent",L41&gt;54,"Old")</f>
        <v>Middle Age</v>
      </c>
      <c r="N41" t="s">
        <v>15</v>
      </c>
    </row>
    <row r="42" spans="1:14" x14ac:dyDescent="0.3">
      <c r="A42">
        <v>27803</v>
      </c>
      <c r="B42" t="s">
        <v>37</v>
      </c>
      <c r="C42" t="s">
        <v>38</v>
      </c>
      <c r="D42" s="3">
        <v>30000</v>
      </c>
      <c r="E42">
        <v>2</v>
      </c>
      <c r="F42" t="s">
        <v>19</v>
      </c>
      <c r="G42" t="s">
        <v>20</v>
      </c>
      <c r="H42" t="s">
        <v>18</v>
      </c>
      <c r="I42">
        <v>0</v>
      </c>
      <c r="J42" t="s">
        <v>16</v>
      </c>
      <c r="K42" t="s">
        <v>17</v>
      </c>
      <c r="L42">
        <v>43</v>
      </c>
      <c r="M42" t="str" cm="1">
        <f t="array" ref="M42">_xlfn.IFS(AND(L42&gt;=31,L42&lt;=54),"Middle Age",L42&lt;31,"Adolescent",L42&gt;54,"Old")</f>
        <v>Middle Age</v>
      </c>
      <c r="N42" t="s">
        <v>18</v>
      </c>
    </row>
    <row r="43" spans="1:14" x14ac:dyDescent="0.3">
      <c r="A43">
        <v>14347</v>
      </c>
      <c r="B43" t="s">
        <v>37</v>
      </c>
      <c r="C43" t="s">
        <v>38</v>
      </c>
      <c r="D43" s="3">
        <v>40000</v>
      </c>
      <c r="E43">
        <v>2</v>
      </c>
      <c r="F43" t="s">
        <v>13</v>
      </c>
      <c r="G43" t="s">
        <v>28</v>
      </c>
      <c r="H43" t="s">
        <v>15</v>
      </c>
      <c r="I43">
        <v>2</v>
      </c>
      <c r="J43" t="s">
        <v>23</v>
      </c>
      <c r="K43" t="s">
        <v>24</v>
      </c>
      <c r="L43">
        <v>65</v>
      </c>
      <c r="M43" t="str" cm="1">
        <f t="array" ref="M43">_xlfn.IFS(AND(L43&gt;=31,L43&lt;=54),"Middle Age",L43&lt;31,"Adolescent",L43&gt;54,"Old")</f>
        <v>Old</v>
      </c>
      <c r="N43" t="s">
        <v>15</v>
      </c>
    </row>
    <row r="44" spans="1:14" x14ac:dyDescent="0.3">
      <c r="A44">
        <v>17703</v>
      </c>
      <c r="B44" t="s">
        <v>36</v>
      </c>
      <c r="C44" t="s">
        <v>38</v>
      </c>
      <c r="D44" s="3">
        <v>10000</v>
      </c>
      <c r="E44">
        <v>1</v>
      </c>
      <c r="F44" t="s">
        <v>31</v>
      </c>
      <c r="G44" t="s">
        <v>25</v>
      </c>
      <c r="H44" t="s">
        <v>15</v>
      </c>
      <c r="I44">
        <v>0</v>
      </c>
      <c r="J44" t="s">
        <v>16</v>
      </c>
      <c r="K44" t="s">
        <v>17</v>
      </c>
      <c r="L44">
        <v>40</v>
      </c>
      <c r="M44" t="str" cm="1">
        <f t="array" ref="M44">_xlfn.IFS(AND(L44&gt;=31,L44&lt;=54),"Middle Age",L44&lt;31,"Adolescent",L44&gt;54,"Old")</f>
        <v>Middle Age</v>
      </c>
      <c r="N44" t="s">
        <v>18</v>
      </c>
    </row>
    <row r="45" spans="1:14" x14ac:dyDescent="0.3">
      <c r="A45">
        <v>17185</v>
      </c>
      <c r="B45" t="s">
        <v>36</v>
      </c>
      <c r="C45" t="s">
        <v>38</v>
      </c>
      <c r="D45" s="3">
        <v>170000</v>
      </c>
      <c r="E45">
        <v>4</v>
      </c>
      <c r="F45" t="s">
        <v>19</v>
      </c>
      <c r="G45" t="s">
        <v>21</v>
      </c>
      <c r="H45" t="s">
        <v>18</v>
      </c>
      <c r="I45">
        <v>3</v>
      </c>
      <c r="J45" t="s">
        <v>23</v>
      </c>
      <c r="K45" t="s">
        <v>17</v>
      </c>
      <c r="L45">
        <v>48</v>
      </c>
      <c r="M45" t="str" cm="1">
        <f t="array" ref="M45">_xlfn.IFS(AND(L45&gt;=31,L45&lt;=54),"Middle Age",L45&lt;31,"Adolescent",L45&gt;54,"Old")</f>
        <v>Middle Age</v>
      </c>
      <c r="N45" t="s">
        <v>15</v>
      </c>
    </row>
    <row r="46" spans="1:14" x14ac:dyDescent="0.3">
      <c r="A46">
        <v>29380</v>
      </c>
      <c r="B46" t="s">
        <v>36</v>
      </c>
      <c r="C46" t="s">
        <v>38</v>
      </c>
      <c r="D46" s="3">
        <v>20000</v>
      </c>
      <c r="E46">
        <v>3</v>
      </c>
      <c r="F46" t="s">
        <v>27</v>
      </c>
      <c r="G46" t="s">
        <v>25</v>
      </c>
      <c r="H46" t="s">
        <v>15</v>
      </c>
      <c r="I46">
        <v>0</v>
      </c>
      <c r="J46" t="s">
        <v>16</v>
      </c>
      <c r="K46" t="s">
        <v>17</v>
      </c>
      <c r="L46">
        <v>41</v>
      </c>
      <c r="M46" t="str" cm="1">
        <f t="array" ref="M46">_xlfn.IFS(AND(L46&gt;=31,L46&lt;=54),"Middle Age",L46&lt;31,"Adolescent",L46&gt;54,"Old")</f>
        <v>Middle Age</v>
      </c>
      <c r="N46" t="s">
        <v>15</v>
      </c>
    </row>
    <row r="47" spans="1:14" x14ac:dyDescent="0.3">
      <c r="A47">
        <v>23986</v>
      </c>
      <c r="B47" t="s">
        <v>36</v>
      </c>
      <c r="C47" t="s">
        <v>38</v>
      </c>
      <c r="D47" s="3">
        <v>20000</v>
      </c>
      <c r="E47">
        <v>1</v>
      </c>
      <c r="F47" t="s">
        <v>13</v>
      </c>
      <c r="G47" t="s">
        <v>20</v>
      </c>
      <c r="H47" t="s">
        <v>15</v>
      </c>
      <c r="I47">
        <v>0</v>
      </c>
      <c r="J47" t="s">
        <v>16</v>
      </c>
      <c r="K47" t="s">
        <v>17</v>
      </c>
      <c r="L47">
        <v>66</v>
      </c>
      <c r="M47" t="str" cm="1">
        <f t="array" ref="M47">_xlfn.IFS(AND(L47&gt;=31,L47&lt;=54),"Middle Age",L47&lt;31,"Adolescent",L47&gt;54,"Old")</f>
        <v>Old</v>
      </c>
      <c r="N47" t="s">
        <v>15</v>
      </c>
    </row>
    <row r="48" spans="1:14" x14ac:dyDescent="0.3">
      <c r="A48">
        <v>24466</v>
      </c>
      <c r="B48" t="s">
        <v>36</v>
      </c>
      <c r="C48" t="s">
        <v>38</v>
      </c>
      <c r="D48" s="3">
        <v>60000</v>
      </c>
      <c r="E48">
        <v>1</v>
      </c>
      <c r="F48" t="s">
        <v>19</v>
      </c>
      <c r="G48" t="s">
        <v>14</v>
      </c>
      <c r="H48" t="s">
        <v>15</v>
      </c>
      <c r="I48">
        <v>1</v>
      </c>
      <c r="J48" t="s">
        <v>23</v>
      </c>
      <c r="K48" t="s">
        <v>24</v>
      </c>
      <c r="L48">
        <v>46</v>
      </c>
      <c r="M48" t="str" cm="1">
        <f t="array" ref="M48">_xlfn.IFS(AND(L48&gt;=31,L48&lt;=54),"Middle Age",L48&lt;31,"Adolescent",L48&gt;54,"Old")</f>
        <v>Middle Age</v>
      </c>
      <c r="N48" t="s">
        <v>15</v>
      </c>
    </row>
    <row r="49" spans="1:14" x14ac:dyDescent="0.3">
      <c r="A49">
        <v>29097</v>
      </c>
      <c r="B49" t="s">
        <v>37</v>
      </c>
      <c r="C49" t="s">
        <v>38</v>
      </c>
      <c r="D49" s="3">
        <v>40000</v>
      </c>
      <c r="E49">
        <v>2</v>
      </c>
      <c r="F49" t="s">
        <v>19</v>
      </c>
      <c r="G49" t="s">
        <v>14</v>
      </c>
      <c r="H49" t="s">
        <v>15</v>
      </c>
      <c r="I49">
        <v>2</v>
      </c>
      <c r="J49" t="s">
        <v>23</v>
      </c>
      <c r="K49" t="s">
        <v>24</v>
      </c>
      <c r="L49">
        <v>52</v>
      </c>
      <c r="M49" t="str" cm="1">
        <f t="array" ref="M49">_xlfn.IFS(AND(L49&gt;=31,L49&lt;=54),"Middle Age",L49&lt;31,"Adolescent",L49&gt;54,"Old")</f>
        <v>Middle Age</v>
      </c>
      <c r="N49" t="s">
        <v>15</v>
      </c>
    </row>
    <row r="50" spans="1:14" x14ac:dyDescent="0.3">
      <c r="A50">
        <v>19487</v>
      </c>
      <c r="B50" t="s">
        <v>36</v>
      </c>
      <c r="C50" t="s">
        <v>39</v>
      </c>
      <c r="D50" s="3">
        <v>30000</v>
      </c>
      <c r="E50">
        <v>2</v>
      </c>
      <c r="F50" t="s">
        <v>19</v>
      </c>
      <c r="G50" t="s">
        <v>20</v>
      </c>
      <c r="H50" t="s">
        <v>18</v>
      </c>
      <c r="I50">
        <v>2</v>
      </c>
      <c r="J50" t="s">
        <v>16</v>
      </c>
      <c r="K50" t="s">
        <v>17</v>
      </c>
      <c r="L50">
        <v>42</v>
      </c>
      <c r="M50" t="str" cm="1">
        <f t="array" ref="M50">_xlfn.IFS(AND(L50&gt;=31,L50&lt;=54),"Middle Age",L50&lt;31,"Adolescent",L50&gt;54,"Old")</f>
        <v>Middle Age</v>
      </c>
      <c r="N50" t="s">
        <v>18</v>
      </c>
    </row>
    <row r="51" spans="1:14" x14ac:dyDescent="0.3">
      <c r="A51">
        <v>14939</v>
      </c>
      <c r="B51" t="s">
        <v>37</v>
      </c>
      <c r="C51" t="s">
        <v>39</v>
      </c>
      <c r="D51" s="3">
        <v>40000</v>
      </c>
      <c r="E51">
        <v>0</v>
      </c>
      <c r="F51" t="s">
        <v>13</v>
      </c>
      <c r="G51" t="s">
        <v>20</v>
      </c>
      <c r="H51" t="s">
        <v>15</v>
      </c>
      <c r="I51">
        <v>0</v>
      </c>
      <c r="J51" t="s">
        <v>16</v>
      </c>
      <c r="K51" t="s">
        <v>17</v>
      </c>
      <c r="L51">
        <v>39</v>
      </c>
      <c r="M51" t="str" cm="1">
        <f t="array" ref="M51">_xlfn.IFS(AND(L51&gt;=31,L51&lt;=54),"Middle Age",L51&lt;31,"Adolescent",L51&gt;54,"Old")</f>
        <v>Middle Age</v>
      </c>
      <c r="N51" t="s">
        <v>15</v>
      </c>
    </row>
    <row r="52" spans="1:14" x14ac:dyDescent="0.3">
      <c r="A52">
        <v>13826</v>
      </c>
      <c r="B52" t="s">
        <v>37</v>
      </c>
      <c r="C52" t="s">
        <v>38</v>
      </c>
      <c r="D52" s="3">
        <v>30000</v>
      </c>
      <c r="E52">
        <v>0</v>
      </c>
      <c r="F52" t="s">
        <v>19</v>
      </c>
      <c r="G52" t="s">
        <v>20</v>
      </c>
      <c r="H52" t="s">
        <v>18</v>
      </c>
      <c r="I52">
        <v>1</v>
      </c>
      <c r="J52" t="s">
        <v>16</v>
      </c>
      <c r="K52" t="s">
        <v>17</v>
      </c>
      <c r="L52">
        <v>28</v>
      </c>
      <c r="M52" t="str" cm="1">
        <f t="array" ref="M52">_xlfn.IFS(AND(L52&gt;=31,L52&lt;=54),"Middle Age",L52&lt;31,"Adolescent",L52&gt;54,"Old")</f>
        <v>Adolescent</v>
      </c>
      <c r="N52" t="s">
        <v>18</v>
      </c>
    </row>
    <row r="53" spans="1:14" x14ac:dyDescent="0.3">
      <c r="A53">
        <v>20619</v>
      </c>
      <c r="B53" t="s">
        <v>37</v>
      </c>
      <c r="C53" t="s">
        <v>39</v>
      </c>
      <c r="D53" s="3">
        <v>80000</v>
      </c>
      <c r="E53">
        <v>0</v>
      </c>
      <c r="F53" t="s">
        <v>13</v>
      </c>
      <c r="G53" t="s">
        <v>21</v>
      </c>
      <c r="H53" t="s">
        <v>18</v>
      </c>
      <c r="I53">
        <v>4</v>
      </c>
      <c r="J53" t="s">
        <v>46</v>
      </c>
      <c r="K53" t="s">
        <v>24</v>
      </c>
      <c r="L53">
        <v>35</v>
      </c>
      <c r="M53" t="str" cm="1">
        <f t="array" ref="M53">_xlfn.IFS(AND(L53&gt;=31,L53&lt;=54),"Middle Age",L53&lt;31,"Adolescent",L53&gt;54,"Old")</f>
        <v>Middle Age</v>
      </c>
      <c r="N53" t="s">
        <v>18</v>
      </c>
    </row>
    <row r="54" spans="1:14" x14ac:dyDescent="0.3">
      <c r="A54">
        <v>12558</v>
      </c>
      <c r="B54" t="s">
        <v>36</v>
      </c>
      <c r="C54" t="s">
        <v>38</v>
      </c>
      <c r="D54" s="3">
        <v>20000</v>
      </c>
      <c r="E54">
        <v>1</v>
      </c>
      <c r="F54" t="s">
        <v>13</v>
      </c>
      <c r="G54" t="s">
        <v>20</v>
      </c>
      <c r="H54" t="s">
        <v>15</v>
      </c>
      <c r="I54">
        <v>0</v>
      </c>
      <c r="J54" t="s">
        <v>16</v>
      </c>
      <c r="K54" t="s">
        <v>17</v>
      </c>
      <c r="L54">
        <v>65</v>
      </c>
      <c r="M54" t="str" cm="1">
        <f t="array" ref="M54">_xlfn.IFS(AND(L54&gt;=31,L54&lt;=54),"Middle Age",L54&lt;31,"Adolescent",L54&gt;54,"Old")</f>
        <v>Old</v>
      </c>
      <c r="N54" t="s">
        <v>18</v>
      </c>
    </row>
    <row r="55" spans="1:14" x14ac:dyDescent="0.3">
      <c r="A55">
        <v>24871</v>
      </c>
      <c r="B55" t="s">
        <v>37</v>
      </c>
      <c r="C55" t="s">
        <v>38</v>
      </c>
      <c r="D55" s="3">
        <v>90000</v>
      </c>
      <c r="E55">
        <v>4</v>
      </c>
      <c r="F55" t="s">
        <v>27</v>
      </c>
      <c r="G55" t="s">
        <v>28</v>
      </c>
      <c r="H55" t="s">
        <v>18</v>
      </c>
      <c r="I55">
        <v>3</v>
      </c>
      <c r="J55" t="s">
        <v>23</v>
      </c>
      <c r="K55" t="s">
        <v>17</v>
      </c>
      <c r="L55">
        <v>56</v>
      </c>
      <c r="M55" t="str" cm="1">
        <f t="array" ref="M55">_xlfn.IFS(AND(L55&gt;=31,L55&lt;=54),"Middle Age",L55&lt;31,"Adolescent",L55&gt;54,"Old")</f>
        <v>Old</v>
      </c>
      <c r="N55" t="s">
        <v>18</v>
      </c>
    </row>
    <row r="56" spans="1:14" x14ac:dyDescent="0.3">
      <c r="A56">
        <v>17319</v>
      </c>
      <c r="B56" t="s">
        <v>37</v>
      </c>
      <c r="C56" t="s">
        <v>38</v>
      </c>
      <c r="D56" s="3">
        <v>70000</v>
      </c>
      <c r="E56">
        <v>0</v>
      </c>
      <c r="F56" t="s">
        <v>13</v>
      </c>
      <c r="G56" t="s">
        <v>21</v>
      </c>
      <c r="H56" t="s">
        <v>18</v>
      </c>
      <c r="I56">
        <v>1</v>
      </c>
      <c r="J56" t="s">
        <v>23</v>
      </c>
      <c r="K56" t="s">
        <v>24</v>
      </c>
      <c r="L56">
        <v>42</v>
      </c>
      <c r="M56" t="str" cm="1">
        <f t="array" ref="M56">_xlfn.IFS(AND(L56&gt;=31,L56&lt;=54),"Middle Age",L56&lt;31,"Adolescent",L56&gt;54,"Old")</f>
        <v>Middle Age</v>
      </c>
      <c r="N56" t="s">
        <v>18</v>
      </c>
    </row>
    <row r="57" spans="1:14" x14ac:dyDescent="0.3">
      <c r="A57">
        <v>28906</v>
      </c>
      <c r="B57" t="s">
        <v>36</v>
      </c>
      <c r="C57" t="s">
        <v>39</v>
      </c>
      <c r="D57" s="3">
        <v>80000</v>
      </c>
      <c r="E57">
        <v>4</v>
      </c>
      <c r="F57" t="s">
        <v>27</v>
      </c>
      <c r="G57" t="s">
        <v>21</v>
      </c>
      <c r="H57" t="s">
        <v>15</v>
      </c>
      <c r="I57">
        <v>2</v>
      </c>
      <c r="J57" t="s">
        <v>46</v>
      </c>
      <c r="K57" t="s">
        <v>17</v>
      </c>
      <c r="L57">
        <v>54</v>
      </c>
      <c r="M57" t="str" cm="1">
        <f t="array" ref="M57">_xlfn.IFS(AND(L57&gt;=31,L57&lt;=54),"Middle Age",L57&lt;31,"Adolescent",L57&gt;54,"Old")</f>
        <v>Middle Age</v>
      </c>
      <c r="N57" t="s">
        <v>18</v>
      </c>
    </row>
    <row r="58" spans="1:14" x14ac:dyDescent="0.3">
      <c r="A58">
        <v>12808</v>
      </c>
      <c r="B58" t="s">
        <v>36</v>
      </c>
      <c r="C58" t="s">
        <v>39</v>
      </c>
      <c r="D58" s="3">
        <v>40000</v>
      </c>
      <c r="E58">
        <v>0</v>
      </c>
      <c r="F58" t="s">
        <v>13</v>
      </c>
      <c r="G58" t="s">
        <v>20</v>
      </c>
      <c r="H58" t="s">
        <v>15</v>
      </c>
      <c r="I58">
        <v>0</v>
      </c>
      <c r="J58" t="s">
        <v>16</v>
      </c>
      <c r="K58" t="s">
        <v>17</v>
      </c>
      <c r="L58">
        <v>38</v>
      </c>
      <c r="M58" t="str" cm="1">
        <f t="array" ref="M58">_xlfn.IFS(AND(L58&gt;=31,L58&lt;=54),"Middle Age",L58&lt;31,"Adolescent",L58&gt;54,"Old")</f>
        <v>Middle Age</v>
      </c>
      <c r="N58" t="s">
        <v>15</v>
      </c>
    </row>
    <row r="59" spans="1:14" x14ac:dyDescent="0.3">
      <c r="A59">
        <v>20567</v>
      </c>
      <c r="B59" t="s">
        <v>36</v>
      </c>
      <c r="C59" t="s">
        <v>39</v>
      </c>
      <c r="D59" s="3">
        <v>130000</v>
      </c>
      <c r="E59">
        <v>4</v>
      </c>
      <c r="F59" t="s">
        <v>19</v>
      </c>
      <c r="G59" t="s">
        <v>21</v>
      </c>
      <c r="H59" t="s">
        <v>18</v>
      </c>
      <c r="I59">
        <v>4</v>
      </c>
      <c r="J59" t="s">
        <v>23</v>
      </c>
      <c r="K59" t="s">
        <v>17</v>
      </c>
      <c r="L59">
        <v>61</v>
      </c>
      <c r="M59" t="str" cm="1">
        <f t="array" ref="M59">_xlfn.IFS(AND(L59&gt;=31,L59&lt;=54),"Middle Age",L59&lt;31,"Adolescent",L59&gt;54,"Old")</f>
        <v>Old</v>
      </c>
      <c r="N59" t="s">
        <v>15</v>
      </c>
    </row>
    <row r="60" spans="1:14" x14ac:dyDescent="0.3">
      <c r="A60">
        <v>25502</v>
      </c>
      <c r="B60" t="s">
        <v>36</v>
      </c>
      <c r="C60" t="s">
        <v>38</v>
      </c>
      <c r="D60" s="3">
        <v>40000</v>
      </c>
      <c r="E60">
        <v>1</v>
      </c>
      <c r="F60" t="s">
        <v>13</v>
      </c>
      <c r="G60" t="s">
        <v>14</v>
      </c>
      <c r="H60" t="s">
        <v>15</v>
      </c>
      <c r="I60">
        <v>0</v>
      </c>
      <c r="J60" t="s">
        <v>16</v>
      </c>
      <c r="K60" t="s">
        <v>17</v>
      </c>
      <c r="L60">
        <v>43</v>
      </c>
      <c r="M60" t="str" cm="1">
        <f t="array" ref="M60">_xlfn.IFS(AND(L60&gt;=31,L60&lt;=54),"Middle Age",L60&lt;31,"Adolescent",L60&gt;54,"Old")</f>
        <v>Middle Age</v>
      </c>
      <c r="N60" t="s">
        <v>15</v>
      </c>
    </row>
    <row r="61" spans="1:14" x14ac:dyDescent="0.3">
      <c r="A61">
        <v>15580</v>
      </c>
      <c r="B61" t="s">
        <v>36</v>
      </c>
      <c r="C61" t="s">
        <v>39</v>
      </c>
      <c r="D61" s="3">
        <v>60000</v>
      </c>
      <c r="E61">
        <v>2</v>
      </c>
      <c r="F61" t="s">
        <v>13</v>
      </c>
      <c r="G61" t="s">
        <v>21</v>
      </c>
      <c r="H61" t="s">
        <v>15</v>
      </c>
      <c r="I61">
        <v>1</v>
      </c>
      <c r="J61" t="s">
        <v>22</v>
      </c>
      <c r="K61" t="s">
        <v>24</v>
      </c>
      <c r="L61">
        <v>38</v>
      </c>
      <c r="M61" t="str" cm="1">
        <f t="array" ref="M61">_xlfn.IFS(AND(L61&gt;=31,L61&lt;=54),"Middle Age",L61&lt;31,"Adolescent",L61&gt;54,"Old")</f>
        <v>Middle Age</v>
      </c>
      <c r="N61" t="s">
        <v>15</v>
      </c>
    </row>
    <row r="62" spans="1:14" x14ac:dyDescent="0.3">
      <c r="A62">
        <v>24185</v>
      </c>
      <c r="B62" t="s">
        <v>37</v>
      </c>
      <c r="C62" t="s">
        <v>38</v>
      </c>
      <c r="D62" s="3">
        <v>10000</v>
      </c>
      <c r="E62">
        <v>1</v>
      </c>
      <c r="F62" t="s">
        <v>27</v>
      </c>
      <c r="G62" t="s">
        <v>25</v>
      </c>
      <c r="H62" t="s">
        <v>18</v>
      </c>
      <c r="I62">
        <v>1</v>
      </c>
      <c r="J62" t="s">
        <v>26</v>
      </c>
      <c r="K62" t="s">
        <v>17</v>
      </c>
      <c r="L62">
        <v>45</v>
      </c>
      <c r="M62" t="str" cm="1">
        <f t="array" ref="M62">_xlfn.IFS(AND(L62&gt;=31,L62&lt;=54),"Middle Age",L62&lt;31,"Adolescent",L62&gt;54,"Old")</f>
        <v>Middle Age</v>
      </c>
      <c r="N62" t="s">
        <v>18</v>
      </c>
    </row>
    <row r="63" spans="1:14" x14ac:dyDescent="0.3">
      <c r="A63">
        <v>19291</v>
      </c>
      <c r="B63" t="s">
        <v>37</v>
      </c>
      <c r="C63" t="s">
        <v>38</v>
      </c>
      <c r="D63" s="3">
        <v>10000</v>
      </c>
      <c r="E63">
        <v>2</v>
      </c>
      <c r="F63" t="s">
        <v>27</v>
      </c>
      <c r="G63" t="s">
        <v>25</v>
      </c>
      <c r="H63" t="s">
        <v>15</v>
      </c>
      <c r="I63">
        <v>0</v>
      </c>
      <c r="J63" t="s">
        <v>16</v>
      </c>
      <c r="K63" t="s">
        <v>17</v>
      </c>
      <c r="L63">
        <v>35</v>
      </c>
      <c r="M63" t="str" cm="1">
        <f t="array" ref="M63">_xlfn.IFS(AND(L63&gt;=31,L63&lt;=54),"Middle Age",L63&lt;31,"Adolescent",L63&gt;54,"Old")</f>
        <v>Middle Age</v>
      </c>
      <c r="N63" t="s">
        <v>18</v>
      </c>
    </row>
    <row r="64" spans="1:14" x14ac:dyDescent="0.3">
      <c r="A64">
        <v>16713</v>
      </c>
      <c r="B64" t="s">
        <v>36</v>
      </c>
      <c r="C64" t="s">
        <v>39</v>
      </c>
      <c r="D64" s="3">
        <v>40000</v>
      </c>
      <c r="E64">
        <v>2</v>
      </c>
      <c r="F64" t="s">
        <v>13</v>
      </c>
      <c r="G64" t="s">
        <v>28</v>
      </c>
      <c r="H64" t="s">
        <v>15</v>
      </c>
      <c r="I64">
        <v>1</v>
      </c>
      <c r="J64" t="s">
        <v>16</v>
      </c>
      <c r="K64" t="s">
        <v>24</v>
      </c>
      <c r="L64">
        <v>52</v>
      </c>
      <c r="M64" t="str" cm="1">
        <f t="array" ref="M64">_xlfn.IFS(AND(L64&gt;=31,L64&lt;=54),"Middle Age",L64&lt;31,"Adolescent",L64&gt;54,"Old")</f>
        <v>Middle Age</v>
      </c>
      <c r="N64" t="s">
        <v>15</v>
      </c>
    </row>
    <row r="65" spans="1:14" x14ac:dyDescent="0.3">
      <c r="A65">
        <v>16185</v>
      </c>
      <c r="B65" t="s">
        <v>37</v>
      </c>
      <c r="C65" t="s">
        <v>39</v>
      </c>
      <c r="D65" s="3">
        <v>60000</v>
      </c>
      <c r="E65">
        <v>4</v>
      </c>
      <c r="F65" t="s">
        <v>13</v>
      </c>
      <c r="G65" t="s">
        <v>21</v>
      </c>
      <c r="H65" t="s">
        <v>15</v>
      </c>
      <c r="I65">
        <v>3</v>
      </c>
      <c r="J65" t="s">
        <v>46</v>
      </c>
      <c r="K65" t="s">
        <v>24</v>
      </c>
      <c r="L65">
        <v>41</v>
      </c>
      <c r="M65" t="str" cm="1">
        <f t="array" ref="M65">_xlfn.IFS(AND(L65&gt;=31,L65&lt;=54),"Middle Age",L65&lt;31,"Adolescent",L65&gt;54,"Old")</f>
        <v>Middle Age</v>
      </c>
      <c r="N65" t="s">
        <v>18</v>
      </c>
    </row>
    <row r="66" spans="1:14" x14ac:dyDescent="0.3">
      <c r="A66">
        <v>14927</v>
      </c>
      <c r="B66" t="s">
        <v>36</v>
      </c>
      <c r="C66" t="s">
        <v>38</v>
      </c>
      <c r="D66" s="3">
        <v>30000</v>
      </c>
      <c r="E66">
        <v>1</v>
      </c>
      <c r="F66" t="s">
        <v>13</v>
      </c>
      <c r="G66" t="s">
        <v>20</v>
      </c>
      <c r="H66" t="s">
        <v>15</v>
      </c>
      <c r="I66">
        <v>0</v>
      </c>
      <c r="J66" t="s">
        <v>16</v>
      </c>
      <c r="K66" t="s">
        <v>17</v>
      </c>
      <c r="L66">
        <v>37</v>
      </c>
      <c r="M66" t="str" cm="1">
        <f t="array" ref="M66">_xlfn.IFS(AND(L66&gt;=31,L66&lt;=54),"Middle Age",L66&lt;31,"Adolescent",L66&gt;54,"Old")</f>
        <v>Middle Age</v>
      </c>
      <c r="N66" t="s">
        <v>15</v>
      </c>
    </row>
    <row r="67" spans="1:14" x14ac:dyDescent="0.3">
      <c r="A67">
        <v>29337</v>
      </c>
      <c r="B67" t="s">
        <v>37</v>
      </c>
      <c r="C67" t="s">
        <v>39</v>
      </c>
      <c r="D67" s="3">
        <v>30000</v>
      </c>
      <c r="E67">
        <v>2</v>
      </c>
      <c r="F67" t="s">
        <v>19</v>
      </c>
      <c r="G67" t="s">
        <v>20</v>
      </c>
      <c r="H67" t="s">
        <v>15</v>
      </c>
      <c r="I67">
        <v>2</v>
      </c>
      <c r="J67" t="s">
        <v>23</v>
      </c>
      <c r="K67" t="s">
        <v>24</v>
      </c>
      <c r="L67">
        <v>68</v>
      </c>
      <c r="M67" t="str" cm="1">
        <f t="array" ref="M67">_xlfn.IFS(AND(L67&gt;=31,L67&lt;=54),"Middle Age",L67&lt;31,"Adolescent",L67&gt;54,"Old")</f>
        <v>Old</v>
      </c>
      <c r="N67" t="s">
        <v>18</v>
      </c>
    </row>
    <row r="68" spans="1:14" x14ac:dyDescent="0.3">
      <c r="A68">
        <v>29355</v>
      </c>
      <c r="B68" t="s">
        <v>36</v>
      </c>
      <c r="C68" t="s">
        <v>38</v>
      </c>
      <c r="D68" s="3">
        <v>40000</v>
      </c>
      <c r="E68">
        <v>0</v>
      </c>
      <c r="F68" t="s">
        <v>31</v>
      </c>
      <c r="G68" t="s">
        <v>20</v>
      </c>
      <c r="H68" t="s">
        <v>15</v>
      </c>
      <c r="I68">
        <v>0</v>
      </c>
      <c r="J68" t="s">
        <v>16</v>
      </c>
      <c r="K68" t="s">
        <v>17</v>
      </c>
      <c r="L68">
        <v>37</v>
      </c>
      <c r="M68" t="str" cm="1">
        <f t="array" ref="M68">_xlfn.IFS(AND(L68&gt;=31,L68&lt;=54),"Middle Age",L68&lt;31,"Adolescent",L68&gt;54,"Old")</f>
        <v>Middle Age</v>
      </c>
      <c r="N68" t="s">
        <v>15</v>
      </c>
    </row>
    <row r="69" spans="1:14" x14ac:dyDescent="0.3">
      <c r="A69">
        <v>25303</v>
      </c>
      <c r="B69" t="s">
        <v>37</v>
      </c>
      <c r="C69" t="s">
        <v>39</v>
      </c>
      <c r="D69" s="3">
        <v>30000</v>
      </c>
      <c r="E69">
        <v>0</v>
      </c>
      <c r="F69" t="s">
        <v>27</v>
      </c>
      <c r="G69" t="s">
        <v>25</v>
      </c>
      <c r="H69" t="s">
        <v>15</v>
      </c>
      <c r="I69">
        <v>1</v>
      </c>
      <c r="J69" t="s">
        <v>22</v>
      </c>
      <c r="K69" t="s">
        <v>17</v>
      </c>
      <c r="L69">
        <v>33</v>
      </c>
      <c r="M69" t="str" cm="1">
        <f t="array" ref="M69">_xlfn.IFS(AND(L69&gt;=31,L69&lt;=54),"Middle Age",L69&lt;31,"Adolescent",L69&gt;54,"Old")</f>
        <v>Middle Age</v>
      </c>
      <c r="N69" t="s">
        <v>15</v>
      </c>
    </row>
    <row r="70" spans="1:14" x14ac:dyDescent="0.3">
      <c r="A70">
        <v>14813</v>
      </c>
      <c r="B70" t="s">
        <v>37</v>
      </c>
      <c r="C70" t="s">
        <v>38</v>
      </c>
      <c r="D70" s="3">
        <v>20000</v>
      </c>
      <c r="E70">
        <v>4</v>
      </c>
      <c r="F70" t="s">
        <v>27</v>
      </c>
      <c r="G70" t="s">
        <v>25</v>
      </c>
      <c r="H70" t="s">
        <v>15</v>
      </c>
      <c r="I70">
        <v>1</v>
      </c>
      <c r="J70" t="s">
        <v>16</v>
      </c>
      <c r="K70" t="s">
        <v>17</v>
      </c>
      <c r="L70">
        <v>43</v>
      </c>
      <c r="M70" t="str" cm="1">
        <f t="array" ref="M70">_xlfn.IFS(AND(L70&gt;=31,L70&lt;=54),"Middle Age",L70&lt;31,"Adolescent",L70&gt;54,"Old")</f>
        <v>Middle Age</v>
      </c>
      <c r="N70" t="s">
        <v>15</v>
      </c>
    </row>
    <row r="71" spans="1:14" x14ac:dyDescent="0.3">
      <c r="A71">
        <v>16438</v>
      </c>
      <c r="B71" t="s">
        <v>36</v>
      </c>
      <c r="C71" t="s">
        <v>38</v>
      </c>
      <c r="D71" s="3">
        <v>10000</v>
      </c>
      <c r="E71">
        <v>0</v>
      </c>
      <c r="F71" t="s">
        <v>29</v>
      </c>
      <c r="G71" t="s">
        <v>25</v>
      </c>
      <c r="H71" t="s">
        <v>18</v>
      </c>
      <c r="I71">
        <v>2</v>
      </c>
      <c r="J71" t="s">
        <v>16</v>
      </c>
      <c r="K71" t="s">
        <v>17</v>
      </c>
      <c r="L71">
        <v>30</v>
      </c>
      <c r="M71" t="str" cm="1">
        <f t="array" ref="M71">_xlfn.IFS(AND(L71&gt;=31,L71&lt;=54),"Middle Age",L71&lt;31,"Adolescent",L71&gt;54,"Old")</f>
        <v>Adolescent</v>
      </c>
      <c r="N71" t="s">
        <v>18</v>
      </c>
    </row>
    <row r="72" spans="1:14" x14ac:dyDescent="0.3">
      <c r="A72">
        <v>14238</v>
      </c>
      <c r="B72" t="s">
        <v>36</v>
      </c>
      <c r="C72" t="s">
        <v>39</v>
      </c>
      <c r="D72" s="3">
        <v>120000</v>
      </c>
      <c r="E72">
        <v>0</v>
      </c>
      <c r="F72" t="s">
        <v>29</v>
      </c>
      <c r="G72" t="s">
        <v>21</v>
      </c>
      <c r="H72" t="s">
        <v>15</v>
      </c>
      <c r="I72">
        <v>4</v>
      </c>
      <c r="J72" t="s">
        <v>46</v>
      </c>
      <c r="K72" t="s">
        <v>24</v>
      </c>
      <c r="L72">
        <v>36</v>
      </c>
      <c r="M72" t="str" cm="1">
        <f t="array" ref="M72">_xlfn.IFS(AND(L72&gt;=31,L72&lt;=54),"Middle Age",L72&lt;31,"Adolescent",L72&gt;54,"Old")</f>
        <v>Middle Age</v>
      </c>
      <c r="N72" t="s">
        <v>15</v>
      </c>
    </row>
    <row r="73" spans="1:14" x14ac:dyDescent="0.3">
      <c r="A73">
        <v>16200</v>
      </c>
      <c r="B73" t="s">
        <v>37</v>
      </c>
      <c r="C73" t="s">
        <v>38</v>
      </c>
      <c r="D73" s="3">
        <v>10000</v>
      </c>
      <c r="E73">
        <v>0</v>
      </c>
      <c r="F73" t="s">
        <v>29</v>
      </c>
      <c r="G73" t="s">
        <v>25</v>
      </c>
      <c r="H73" t="s">
        <v>18</v>
      </c>
      <c r="I73">
        <v>2</v>
      </c>
      <c r="J73" t="s">
        <v>16</v>
      </c>
      <c r="K73" t="s">
        <v>17</v>
      </c>
      <c r="L73">
        <v>35</v>
      </c>
      <c r="M73" t="str" cm="1">
        <f t="array" ref="M73">_xlfn.IFS(AND(L73&gt;=31,L73&lt;=54),"Middle Age",L73&lt;31,"Adolescent",L73&gt;54,"Old")</f>
        <v>Middle Age</v>
      </c>
      <c r="N73" t="s">
        <v>18</v>
      </c>
    </row>
    <row r="74" spans="1:14" x14ac:dyDescent="0.3">
      <c r="A74">
        <v>24857</v>
      </c>
      <c r="B74" t="s">
        <v>36</v>
      </c>
      <c r="C74" t="s">
        <v>38</v>
      </c>
      <c r="D74" s="3">
        <v>130000</v>
      </c>
      <c r="E74">
        <v>3</v>
      </c>
      <c r="F74" t="s">
        <v>27</v>
      </c>
      <c r="G74" t="s">
        <v>21</v>
      </c>
      <c r="H74" t="s">
        <v>15</v>
      </c>
      <c r="I74">
        <v>4</v>
      </c>
      <c r="J74" t="s">
        <v>16</v>
      </c>
      <c r="K74" t="s">
        <v>17</v>
      </c>
      <c r="L74">
        <v>52</v>
      </c>
      <c r="M74" t="str" cm="1">
        <f t="array" ref="M74">_xlfn.IFS(AND(L74&gt;=31,L74&lt;=54),"Middle Age",L74&lt;31,"Adolescent",L74&gt;54,"Old")</f>
        <v>Middle Age</v>
      </c>
      <c r="N74" t="s">
        <v>18</v>
      </c>
    </row>
    <row r="75" spans="1:14" x14ac:dyDescent="0.3">
      <c r="A75">
        <v>26956</v>
      </c>
      <c r="B75" t="s">
        <v>37</v>
      </c>
      <c r="C75" t="s">
        <v>38</v>
      </c>
      <c r="D75" s="3">
        <v>20000</v>
      </c>
      <c r="E75">
        <v>0</v>
      </c>
      <c r="F75" t="s">
        <v>19</v>
      </c>
      <c r="G75" t="s">
        <v>25</v>
      </c>
      <c r="H75" t="s">
        <v>18</v>
      </c>
      <c r="I75">
        <v>1</v>
      </c>
      <c r="J75" t="s">
        <v>22</v>
      </c>
      <c r="K75" t="s">
        <v>17</v>
      </c>
      <c r="L75">
        <v>36</v>
      </c>
      <c r="M75" t="str" cm="1">
        <f t="array" ref="M75">_xlfn.IFS(AND(L75&gt;=31,L75&lt;=54),"Middle Age",L75&lt;31,"Adolescent",L75&gt;54,"Old")</f>
        <v>Middle Age</v>
      </c>
      <c r="N75" t="s">
        <v>15</v>
      </c>
    </row>
    <row r="76" spans="1:14" x14ac:dyDescent="0.3">
      <c r="A76">
        <v>14517</v>
      </c>
      <c r="B76" t="s">
        <v>36</v>
      </c>
      <c r="C76" t="s">
        <v>38</v>
      </c>
      <c r="D76" s="3">
        <v>20000</v>
      </c>
      <c r="E76">
        <v>3</v>
      </c>
      <c r="F76" t="s">
        <v>27</v>
      </c>
      <c r="G76" t="s">
        <v>14</v>
      </c>
      <c r="H76" t="s">
        <v>18</v>
      </c>
      <c r="I76">
        <v>2</v>
      </c>
      <c r="J76" t="s">
        <v>26</v>
      </c>
      <c r="K76" t="s">
        <v>24</v>
      </c>
      <c r="L76">
        <v>62</v>
      </c>
      <c r="M76" t="str" cm="1">
        <f t="array" ref="M76">_xlfn.IFS(AND(L76&gt;=31,L76&lt;=54),"Middle Age",L76&lt;31,"Adolescent",L76&gt;54,"Old")</f>
        <v>Old</v>
      </c>
      <c r="N76" t="s">
        <v>18</v>
      </c>
    </row>
    <row r="77" spans="1:14" x14ac:dyDescent="0.3">
      <c r="A77">
        <v>12678</v>
      </c>
      <c r="B77" t="s">
        <v>37</v>
      </c>
      <c r="C77" t="s">
        <v>38</v>
      </c>
      <c r="D77" s="3">
        <v>130000</v>
      </c>
      <c r="E77">
        <v>4</v>
      </c>
      <c r="F77" t="s">
        <v>27</v>
      </c>
      <c r="G77" t="s">
        <v>28</v>
      </c>
      <c r="H77" t="s">
        <v>15</v>
      </c>
      <c r="I77">
        <v>4</v>
      </c>
      <c r="J77" t="s">
        <v>16</v>
      </c>
      <c r="K77" t="s">
        <v>24</v>
      </c>
      <c r="L77">
        <v>31</v>
      </c>
      <c r="M77" t="str" cm="1">
        <f t="array" ref="M77">_xlfn.IFS(AND(L77&gt;=31,L77&lt;=54),"Middle Age",L77&lt;31,"Adolescent",L77&gt;54,"Old")</f>
        <v>Middle Age</v>
      </c>
      <c r="N77" t="s">
        <v>18</v>
      </c>
    </row>
    <row r="78" spans="1:14" x14ac:dyDescent="0.3">
      <c r="A78">
        <v>16188</v>
      </c>
      <c r="B78" t="s">
        <v>37</v>
      </c>
      <c r="C78" t="s">
        <v>38</v>
      </c>
      <c r="D78" s="3">
        <v>20000</v>
      </c>
      <c r="E78">
        <v>0</v>
      </c>
      <c r="F78" t="s">
        <v>29</v>
      </c>
      <c r="G78" t="s">
        <v>25</v>
      </c>
      <c r="H78" t="s">
        <v>18</v>
      </c>
      <c r="I78">
        <v>2</v>
      </c>
      <c r="J78" t="s">
        <v>26</v>
      </c>
      <c r="K78" t="s">
        <v>17</v>
      </c>
      <c r="L78">
        <v>26</v>
      </c>
      <c r="M78" t="str" cm="1">
        <f t="array" ref="M78">_xlfn.IFS(AND(L78&gt;=31,L78&lt;=54),"Middle Age",L78&lt;31,"Adolescent",L78&gt;54,"Old")</f>
        <v>Adolescent</v>
      </c>
      <c r="N78" t="s">
        <v>18</v>
      </c>
    </row>
    <row r="79" spans="1:14" x14ac:dyDescent="0.3">
      <c r="A79">
        <v>27969</v>
      </c>
      <c r="B79" t="s">
        <v>36</v>
      </c>
      <c r="C79" t="s">
        <v>39</v>
      </c>
      <c r="D79" s="3">
        <v>80000</v>
      </c>
      <c r="E79">
        <v>0</v>
      </c>
      <c r="F79" t="s">
        <v>13</v>
      </c>
      <c r="G79" t="s">
        <v>21</v>
      </c>
      <c r="H79" t="s">
        <v>15</v>
      </c>
      <c r="I79">
        <v>2</v>
      </c>
      <c r="J79" t="s">
        <v>46</v>
      </c>
      <c r="K79" t="s">
        <v>24</v>
      </c>
      <c r="L79">
        <v>29</v>
      </c>
      <c r="M79" t="str" cm="1">
        <f t="array" ref="M79">_xlfn.IFS(AND(L79&gt;=31,L79&lt;=54),"Middle Age",L79&lt;31,"Adolescent",L79&gt;54,"Old")</f>
        <v>Adolescent</v>
      </c>
      <c r="N79" t="s">
        <v>15</v>
      </c>
    </row>
    <row r="80" spans="1:14" x14ac:dyDescent="0.3">
      <c r="A80">
        <v>15752</v>
      </c>
      <c r="B80" t="s">
        <v>36</v>
      </c>
      <c r="C80" t="s">
        <v>39</v>
      </c>
      <c r="D80" s="3">
        <v>80000</v>
      </c>
      <c r="E80">
        <v>2</v>
      </c>
      <c r="F80" t="s">
        <v>27</v>
      </c>
      <c r="G80" t="s">
        <v>14</v>
      </c>
      <c r="H80" t="s">
        <v>18</v>
      </c>
      <c r="I80">
        <v>2</v>
      </c>
      <c r="J80" t="s">
        <v>26</v>
      </c>
      <c r="K80" t="s">
        <v>24</v>
      </c>
      <c r="L80">
        <v>50</v>
      </c>
      <c r="M80" t="str" cm="1">
        <f t="array" ref="M80">_xlfn.IFS(AND(L80&gt;=31,L80&lt;=54),"Middle Age",L80&lt;31,"Adolescent",L80&gt;54,"Old")</f>
        <v>Middle Age</v>
      </c>
      <c r="N80" t="s">
        <v>15</v>
      </c>
    </row>
    <row r="81" spans="1:14" x14ac:dyDescent="0.3">
      <c r="A81">
        <v>27745</v>
      </c>
      <c r="B81" t="s">
        <v>37</v>
      </c>
      <c r="C81" t="s">
        <v>39</v>
      </c>
      <c r="D81" s="3">
        <v>40000</v>
      </c>
      <c r="E81">
        <v>2</v>
      </c>
      <c r="F81" t="s">
        <v>13</v>
      </c>
      <c r="G81" t="s">
        <v>28</v>
      </c>
      <c r="H81" t="s">
        <v>15</v>
      </c>
      <c r="I81">
        <v>2</v>
      </c>
      <c r="J81" t="s">
        <v>23</v>
      </c>
      <c r="K81" t="s">
        <v>24</v>
      </c>
      <c r="L81">
        <v>63</v>
      </c>
      <c r="M81" t="str" cm="1">
        <f t="array" ref="M81">_xlfn.IFS(AND(L81&gt;=31,L81&lt;=54),"Middle Age",L81&lt;31,"Adolescent",L81&gt;54,"Old")</f>
        <v>Old</v>
      </c>
      <c r="N81" t="s">
        <v>15</v>
      </c>
    </row>
    <row r="82" spans="1:14" x14ac:dyDescent="0.3">
      <c r="A82">
        <v>20828</v>
      </c>
      <c r="B82" t="s">
        <v>36</v>
      </c>
      <c r="C82" t="s">
        <v>38</v>
      </c>
      <c r="D82" s="3">
        <v>30000</v>
      </c>
      <c r="E82">
        <v>4</v>
      </c>
      <c r="F82" t="s">
        <v>31</v>
      </c>
      <c r="G82" t="s">
        <v>20</v>
      </c>
      <c r="H82" t="s">
        <v>15</v>
      </c>
      <c r="I82">
        <v>0</v>
      </c>
      <c r="J82" t="s">
        <v>16</v>
      </c>
      <c r="K82" t="s">
        <v>17</v>
      </c>
      <c r="L82">
        <v>45</v>
      </c>
      <c r="M82" t="str" cm="1">
        <f t="array" ref="M82">_xlfn.IFS(AND(L82&gt;=31,L82&lt;=54),"Middle Age",L82&lt;31,"Adolescent",L82&gt;54,"Old")</f>
        <v>Middle Age</v>
      </c>
      <c r="N82" t="s">
        <v>15</v>
      </c>
    </row>
    <row r="83" spans="1:14" x14ac:dyDescent="0.3">
      <c r="A83">
        <v>19461</v>
      </c>
      <c r="B83" t="s">
        <v>37</v>
      </c>
      <c r="C83" t="s">
        <v>38</v>
      </c>
      <c r="D83" s="3">
        <v>10000</v>
      </c>
      <c r="E83">
        <v>4</v>
      </c>
      <c r="F83" t="s">
        <v>29</v>
      </c>
      <c r="G83" t="s">
        <v>25</v>
      </c>
      <c r="H83" t="s">
        <v>15</v>
      </c>
      <c r="I83">
        <v>2</v>
      </c>
      <c r="J83" t="s">
        <v>16</v>
      </c>
      <c r="K83" t="s">
        <v>17</v>
      </c>
      <c r="L83">
        <v>40</v>
      </c>
      <c r="M83" t="str" cm="1">
        <f t="array" ref="M83">_xlfn.IFS(AND(L83&gt;=31,L83&lt;=54),"Middle Age",L83&lt;31,"Adolescent",L83&gt;54,"Old")</f>
        <v>Middle Age</v>
      </c>
      <c r="N83" t="s">
        <v>18</v>
      </c>
    </row>
    <row r="84" spans="1:14" x14ac:dyDescent="0.3">
      <c r="A84">
        <v>26941</v>
      </c>
      <c r="B84" t="s">
        <v>36</v>
      </c>
      <c r="C84" t="s">
        <v>39</v>
      </c>
      <c r="D84" s="3">
        <v>30000</v>
      </c>
      <c r="E84">
        <v>0</v>
      </c>
      <c r="F84" t="s">
        <v>13</v>
      </c>
      <c r="G84" t="s">
        <v>20</v>
      </c>
      <c r="H84" t="s">
        <v>15</v>
      </c>
      <c r="I84">
        <v>0</v>
      </c>
      <c r="J84" t="s">
        <v>16</v>
      </c>
      <c r="K84" t="s">
        <v>17</v>
      </c>
      <c r="L84">
        <v>47</v>
      </c>
      <c r="M84" t="str" cm="1">
        <f t="array" ref="M84">_xlfn.IFS(AND(L84&gt;=31,L84&lt;=54),"Middle Age",L84&lt;31,"Adolescent",L84&gt;54,"Old")</f>
        <v>Middle Age</v>
      </c>
      <c r="N84" t="s">
        <v>15</v>
      </c>
    </row>
    <row r="85" spans="1:14" x14ac:dyDescent="0.3">
      <c r="A85">
        <v>28412</v>
      </c>
      <c r="B85" t="s">
        <v>37</v>
      </c>
      <c r="C85" t="s">
        <v>39</v>
      </c>
      <c r="D85" s="3">
        <v>20000</v>
      </c>
      <c r="E85">
        <v>0</v>
      </c>
      <c r="F85" t="s">
        <v>27</v>
      </c>
      <c r="G85" t="s">
        <v>25</v>
      </c>
      <c r="H85" t="s">
        <v>18</v>
      </c>
      <c r="I85">
        <v>1</v>
      </c>
      <c r="J85" t="s">
        <v>22</v>
      </c>
      <c r="K85" t="s">
        <v>17</v>
      </c>
      <c r="L85">
        <v>29</v>
      </c>
      <c r="M85" t="str" cm="1">
        <f t="array" ref="M85">_xlfn.IFS(AND(L85&gt;=31,L85&lt;=54),"Middle Age",L85&lt;31,"Adolescent",L85&gt;54,"Old")</f>
        <v>Adolescent</v>
      </c>
      <c r="N85" t="s">
        <v>18</v>
      </c>
    </row>
    <row r="86" spans="1:14" x14ac:dyDescent="0.3">
      <c r="A86">
        <v>24485</v>
      </c>
      <c r="B86" t="s">
        <v>37</v>
      </c>
      <c r="C86" t="s">
        <v>39</v>
      </c>
      <c r="D86" s="3">
        <v>40000</v>
      </c>
      <c r="E86">
        <v>2</v>
      </c>
      <c r="F86" t="s">
        <v>13</v>
      </c>
      <c r="G86" t="s">
        <v>28</v>
      </c>
      <c r="H86" t="s">
        <v>18</v>
      </c>
      <c r="I86">
        <v>1</v>
      </c>
      <c r="J86" t="s">
        <v>23</v>
      </c>
      <c r="K86" t="s">
        <v>24</v>
      </c>
      <c r="L86">
        <v>52</v>
      </c>
      <c r="M86" t="str" cm="1">
        <f t="array" ref="M86">_xlfn.IFS(AND(L86&gt;=31,L86&lt;=54),"Middle Age",L86&lt;31,"Adolescent",L86&gt;54,"Old")</f>
        <v>Middle Age</v>
      </c>
      <c r="N86" t="s">
        <v>15</v>
      </c>
    </row>
    <row r="87" spans="1:14" x14ac:dyDescent="0.3">
      <c r="A87">
        <v>16514</v>
      </c>
      <c r="B87" t="s">
        <v>37</v>
      </c>
      <c r="C87" t="s">
        <v>39</v>
      </c>
      <c r="D87" s="3">
        <v>10000</v>
      </c>
      <c r="E87">
        <v>0</v>
      </c>
      <c r="F87" t="s">
        <v>19</v>
      </c>
      <c r="G87" t="s">
        <v>25</v>
      </c>
      <c r="H87" t="s">
        <v>15</v>
      </c>
      <c r="I87">
        <v>1</v>
      </c>
      <c r="J87" t="s">
        <v>26</v>
      </c>
      <c r="K87" t="s">
        <v>24</v>
      </c>
      <c r="L87">
        <v>26</v>
      </c>
      <c r="M87" t="str" cm="1">
        <f t="array" ref="M87">_xlfn.IFS(AND(L87&gt;=31,L87&lt;=54),"Middle Age",L87&lt;31,"Adolescent",L87&gt;54,"Old")</f>
        <v>Adolescent</v>
      </c>
      <c r="N87" t="s">
        <v>15</v>
      </c>
    </row>
    <row r="88" spans="1:14" x14ac:dyDescent="0.3">
      <c r="A88">
        <v>17191</v>
      </c>
      <c r="B88" t="s">
        <v>37</v>
      </c>
      <c r="C88" t="s">
        <v>39</v>
      </c>
      <c r="D88" s="3">
        <v>130000</v>
      </c>
      <c r="E88">
        <v>3</v>
      </c>
      <c r="F88" t="s">
        <v>19</v>
      </c>
      <c r="G88" t="s">
        <v>21</v>
      </c>
      <c r="H88" t="s">
        <v>18</v>
      </c>
      <c r="I88">
        <v>3</v>
      </c>
      <c r="J88" t="s">
        <v>16</v>
      </c>
      <c r="K88" t="s">
        <v>17</v>
      </c>
      <c r="L88">
        <v>51</v>
      </c>
      <c r="M88" t="str" cm="1">
        <f t="array" ref="M88">_xlfn.IFS(AND(L88&gt;=31,L88&lt;=54),"Middle Age",L88&lt;31,"Adolescent",L88&gt;54,"Old")</f>
        <v>Middle Age</v>
      </c>
      <c r="N88" t="s">
        <v>15</v>
      </c>
    </row>
    <row r="89" spans="1:14" x14ac:dyDescent="0.3">
      <c r="A89">
        <v>19608</v>
      </c>
      <c r="B89" t="s">
        <v>36</v>
      </c>
      <c r="C89" t="s">
        <v>39</v>
      </c>
      <c r="D89" s="3">
        <v>80000</v>
      </c>
      <c r="E89">
        <v>5</v>
      </c>
      <c r="F89" t="s">
        <v>13</v>
      </c>
      <c r="G89" t="s">
        <v>21</v>
      </c>
      <c r="H89" t="s">
        <v>15</v>
      </c>
      <c r="I89">
        <v>4</v>
      </c>
      <c r="J89" t="s">
        <v>26</v>
      </c>
      <c r="K89" t="s">
        <v>24</v>
      </c>
      <c r="L89">
        <v>40</v>
      </c>
      <c r="M89" t="str" cm="1">
        <f t="array" ref="M89">_xlfn.IFS(AND(L89&gt;=31,L89&lt;=54),"Middle Age",L89&lt;31,"Adolescent",L89&gt;54,"Old")</f>
        <v>Middle Age</v>
      </c>
      <c r="N89" t="s">
        <v>18</v>
      </c>
    </row>
    <row r="90" spans="1:14" x14ac:dyDescent="0.3">
      <c r="A90">
        <v>24119</v>
      </c>
      <c r="B90" t="s">
        <v>37</v>
      </c>
      <c r="C90" t="s">
        <v>39</v>
      </c>
      <c r="D90" s="3">
        <v>30000</v>
      </c>
      <c r="E90">
        <v>0</v>
      </c>
      <c r="F90" t="s">
        <v>19</v>
      </c>
      <c r="G90" t="s">
        <v>20</v>
      </c>
      <c r="H90" t="s">
        <v>18</v>
      </c>
      <c r="I90">
        <v>1</v>
      </c>
      <c r="J90" t="s">
        <v>22</v>
      </c>
      <c r="K90" t="s">
        <v>17</v>
      </c>
      <c r="L90">
        <v>29</v>
      </c>
      <c r="M90" t="str" cm="1">
        <f t="array" ref="M90">_xlfn.IFS(AND(L90&gt;=31,L90&lt;=54),"Middle Age",L90&lt;31,"Adolescent",L90&gt;54,"Old")</f>
        <v>Adolescent</v>
      </c>
      <c r="N90" t="s">
        <v>18</v>
      </c>
    </row>
    <row r="91" spans="1:14" x14ac:dyDescent="0.3">
      <c r="A91">
        <v>25458</v>
      </c>
      <c r="B91" t="s">
        <v>36</v>
      </c>
      <c r="C91" t="s">
        <v>39</v>
      </c>
      <c r="D91" s="3">
        <v>20000</v>
      </c>
      <c r="E91">
        <v>1</v>
      </c>
      <c r="F91" t="s">
        <v>27</v>
      </c>
      <c r="G91" t="s">
        <v>25</v>
      </c>
      <c r="H91" t="s">
        <v>18</v>
      </c>
      <c r="I91">
        <v>1</v>
      </c>
      <c r="J91" t="s">
        <v>26</v>
      </c>
      <c r="K91" t="s">
        <v>17</v>
      </c>
      <c r="L91">
        <v>40</v>
      </c>
      <c r="M91" t="str" cm="1">
        <f t="array" ref="M91">_xlfn.IFS(AND(L91&gt;=31,L91&lt;=54),"Middle Age",L91&lt;31,"Adolescent",L91&gt;54,"Old")</f>
        <v>Middle Age</v>
      </c>
      <c r="N91" t="s">
        <v>15</v>
      </c>
    </row>
    <row r="92" spans="1:14" x14ac:dyDescent="0.3">
      <c r="A92">
        <v>26886</v>
      </c>
      <c r="B92" t="s">
        <v>37</v>
      </c>
      <c r="C92" t="s">
        <v>38</v>
      </c>
      <c r="D92" s="3">
        <v>30000</v>
      </c>
      <c r="E92">
        <v>0</v>
      </c>
      <c r="F92" t="s">
        <v>19</v>
      </c>
      <c r="G92" t="s">
        <v>20</v>
      </c>
      <c r="H92" t="s">
        <v>18</v>
      </c>
      <c r="I92">
        <v>1</v>
      </c>
      <c r="J92" t="s">
        <v>16</v>
      </c>
      <c r="K92" t="s">
        <v>17</v>
      </c>
      <c r="L92">
        <v>29</v>
      </c>
      <c r="M92" t="str" cm="1">
        <f t="array" ref="M92">_xlfn.IFS(AND(L92&gt;=31,L92&lt;=54),"Middle Age",L92&lt;31,"Adolescent",L92&gt;54,"Old")</f>
        <v>Adolescent</v>
      </c>
      <c r="N92" t="s">
        <v>15</v>
      </c>
    </row>
    <row r="93" spans="1:14" x14ac:dyDescent="0.3">
      <c r="A93">
        <v>28436</v>
      </c>
      <c r="B93" t="s">
        <v>37</v>
      </c>
      <c r="C93" t="s">
        <v>39</v>
      </c>
      <c r="D93" s="3">
        <v>30000</v>
      </c>
      <c r="E93">
        <v>0</v>
      </c>
      <c r="F93" t="s">
        <v>19</v>
      </c>
      <c r="G93" t="s">
        <v>20</v>
      </c>
      <c r="H93" t="s">
        <v>18</v>
      </c>
      <c r="I93">
        <v>1</v>
      </c>
      <c r="J93" t="s">
        <v>16</v>
      </c>
      <c r="K93" t="s">
        <v>17</v>
      </c>
      <c r="L93">
        <v>30</v>
      </c>
      <c r="M93" t="str" cm="1">
        <f t="array" ref="M93">_xlfn.IFS(AND(L93&gt;=31,L93&lt;=54),"Middle Age",L93&lt;31,"Adolescent",L93&gt;54,"Old")</f>
        <v>Adolescent</v>
      </c>
      <c r="N93" t="s">
        <v>15</v>
      </c>
    </row>
    <row r="94" spans="1:14" x14ac:dyDescent="0.3">
      <c r="A94">
        <v>19562</v>
      </c>
      <c r="B94" t="s">
        <v>37</v>
      </c>
      <c r="C94" t="s">
        <v>38</v>
      </c>
      <c r="D94" s="3">
        <v>60000</v>
      </c>
      <c r="E94">
        <v>2</v>
      </c>
      <c r="F94" t="s">
        <v>13</v>
      </c>
      <c r="G94" t="s">
        <v>21</v>
      </c>
      <c r="H94" t="s">
        <v>15</v>
      </c>
      <c r="I94">
        <v>1</v>
      </c>
      <c r="J94" t="s">
        <v>22</v>
      </c>
      <c r="K94" t="s">
        <v>24</v>
      </c>
      <c r="L94">
        <v>37</v>
      </c>
      <c r="M94" t="str" cm="1">
        <f t="array" ref="M94">_xlfn.IFS(AND(L94&gt;=31,L94&lt;=54),"Middle Age",L94&lt;31,"Adolescent",L94&gt;54,"Old")</f>
        <v>Middle Age</v>
      </c>
      <c r="N94" t="s">
        <v>15</v>
      </c>
    </row>
    <row r="95" spans="1:14" x14ac:dyDescent="0.3">
      <c r="A95">
        <v>15608</v>
      </c>
      <c r="B95" t="s">
        <v>37</v>
      </c>
      <c r="C95" t="s">
        <v>38</v>
      </c>
      <c r="D95" s="3">
        <v>30000</v>
      </c>
      <c r="E95">
        <v>0</v>
      </c>
      <c r="F95" t="s">
        <v>19</v>
      </c>
      <c r="G95" t="s">
        <v>20</v>
      </c>
      <c r="H95" t="s">
        <v>18</v>
      </c>
      <c r="I95">
        <v>1</v>
      </c>
      <c r="J95" t="s">
        <v>22</v>
      </c>
      <c r="K95" t="s">
        <v>17</v>
      </c>
      <c r="L95">
        <v>33</v>
      </c>
      <c r="M95" t="str" cm="1">
        <f t="array" ref="M95">_xlfn.IFS(AND(L95&gt;=31,L95&lt;=54),"Middle Age",L95&lt;31,"Adolescent",L95&gt;54,"Old")</f>
        <v>Middle Age</v>
      </c>
      <c r="N95" t="s">
        <v>18</v>
      </c>
    </row>
    <row r="96" spans="1:14" x14ac:dyDescent="0.3">
      <c r="A96">
        <v>16487</v>
      </c>
      <c r="B96" t="s">
        <v>37</v>
      </c>
      <c r="C96" t="s">
        <v>38</v>
      </c>
      <c r="D96" s="3">
        <v>30000</v>
      </c>
      <c r="E96">
        <v>3</v>
      </c>
      <c r="F96" t="s">
        <v>27</v>
      </c>
      <c r="G96" t="s">
        <v>14</v>
      </c>
      <c r="H96" t="s">
        <v>15</v>
      </c>
      <c r="I96">
        <v>2</v>
      </c>
      <c r="J96" t="s">
        <v>23</v>
      </c>
      <c r="K96" t="s">
        <v>24</v>
      </c>
      <c r="L96">
        <v>55</v>
      </c>
      <c r="M96" t="str" cm="1">
        <f t="array" ref="M96">_xlfn.IFS(AND(L96&gt;=31,L96&lt;=54),"Middle Age",L96&lt;31,"Adolescent",L96&gt;54,"Old")</f>
        <v>Old</v>
      </c>
      <c r="N96" t="s">
        <v>18</v>
      </c>
    </row>
    <row r="97" spans="1:14" x14ac:dyDescent="0.3">
      <c r="A97">
        <v>17197</v>
      </c>
      <c r="B97" t="s">
        <v>37</v>
      </c>
      <c r="C97" t="s">
        <v>38</v>
      </c>
      <c r="D97" s="3">
        <v>90000</v>
      </c>
      <c r="E97">
        <v>5</v>
      </c>
      <c r="F97" t="s">
        <v>19</v>
      </c>
      <c r="G97" t="s">
        <v>21</v>
      </c>
      <c r="H97" t="s">
        <v>15</v>
      </c>
      <c r="I97">
        <v>2</v>
      </c>
      <c r="J97" t="s">
        <v>46</v>
      </c>
      <c r="K97" t="s">
        <v>17</v>
      </c>
      <c r="L97">
        <v>62</v>
      </c>
      <c r="M97" t="str" cm="1">
        <f t="array" ref="M97">_xlfn.IFS(AND(L97&gt;=31,L97&lt;=54),"Middle Age",L97&lt;31,"Adolescent",L97&gt;54,"Old")</f>
        <v>Old</v>
      </c>
      <c r="N97" t="s">
        <v>18</v>
      </c>
    </row>
    <row r="98" spans="1:14" x14ac:dyDescent="0.3">
      <c r="A98">
        <v>12507</v>
      </c>
      <c r="B98" t="s">
        <v>36</v>
      </c>
      <c r="C98" t="s">
        <v>39</v>
      </c>
      <c r="D98" s="3">
        <v>30000</v>
      </c>
      <c r="E98">
        <v>1</v>
      </c>
      <c r="F98" t="s">
        <v>19</v>
      </c>
      <c r="G98" t="s">
        <v>20</v>
      </c>
      <c r="H98" t="s">
        <v>15</v>
      </c>
      <c r="I98">
        <v>1</v>
      </c>
      <c r="J98" t="s">
        <v>16</v>
      </c>
      <c r="K98" t="s">
        <v>17</v>
      </c>
      <c r="L98">
        <v>43</v>
      </c>
      <c r="M98" t="str" cm="1">
        <f t="array" ref="M98">_xlfn.IFS(AND(L98&gt;=31,L98&lt;=54),"Middle Age",L98&lt;31,"Adolescent",L98&gt;54,"Old")</f>
        <v>Middle Age</v>
      </c>
      <c r="N98" t="s">
        <v>18</v>
      </c>
    </row>
    <row r="99" spans="1:14" x14ac:dyDescent="0.3">
      <c r="A99">
        <v>23940</v>
      </c>
      <c r="B99" t="s">
        <v>36</v>
      </c>
      <c r="C99" t="s">
        <v>39</v>
      </c>
      <c r="D99" s="3">
        <v>40000</v>
      </c>
      <c r="E99">
        <v>1</v>
      </c>
      <c r="F99" t="s">
        <v>13</v>
      </c>
      <c r="G99" t="s">
        <v>14</v>
      </c>
      <c r="H99" t="s">
        <v>15</v>
      </c>
      <c r="I99">
        <v>1</v>
      </c>
      <c r="J99" t="s">
        <v>16</v>
      </c>
      <c r="K99" t="s">
        <v>17</v>
      </c>
      <c r="L99">
        <v>44</v>
      </c>
      <c r="M99" t="str" cm="1">
        <f t="array" ref="M99">_xlfn.IFS(AND(L99&gt;=31,L99&lt;=54),"Middle Age",L99&lt;31,"Adolescent",L99&gt;54,"Old")</f>
        <v>Middle Age</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cm="1">
        <f t="array" ref="M100">_xlfn.IFS(AND(L100&gt;=31,L100&lt;=54),"Middle Age",L100&lt;31,"Adolescent",L100&gt;54,"Old")</f>
        <v>Adolescent</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cm="1">
        <f t="array" ref="M101">_xlfn.IFS(AND(L101&gt;=31,L101&lt;=54),"Middle Age",L101&lt;31,"Adolescent",L101&gt;54,"Old")</f>
        <v>Middle Age</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cm="1">
        <f t="array" ref="M102">_xlfn.IFS(AND(L102&gt;=31,L102&lt;=54),"Middle Age",L102&lt;31,"Adolescent",L102&gt;54,"Old")</f>
        <v>Middle Age</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cm="1">
        <f t="array" ref="M103">_xlfn.IFS(AND(L103&gt;=31,L103&lt;=54),"Middle Age",L103&lt;31,"Adolescent",L103&gt;54,"Old")</f>
        <v>Middle Age</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cm="1">
        <f t="array" ref="M104">_xlfn.IFS(AND(L104&gt;=31,L104&lt;=54),"Middle Age",L104&lt;31,"Adolescent",L104&gt;54,"Old")</f>
        <v>Middle Age</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cm="1">
        <f t="array" ref="M105">_xlfn.IFS(AND(L105&gt;=31,L105&lt;=54),"Middle Age",L105&lt;31,"Adolescent",L105&gt;54,"Old")</f>
        <v>Middle Age</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cm="1">
        <f t="array" ref="M106">_xlfn.IFS(AND(L106&gt;=31,L106&lt;=54),"Middle Age",L106&lt;31,"Adolescent",L106&gt;54,"Old")</f>
        <v>Middle Age</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cm="1">
        <f t="array" ref="M107">_xlfn.IFS(AND(L107&gt;=31,L107&lt;=54),"Middle Age",L107&lt;31,"Adolescent",L107&gt;54,"Old")</f>
        <v>Adolescent</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cm="1">
        <f t="array" ref="M108">_xlfn.IFS(AND(L108&gt;=31,L108&lt;=54),"Middle Age",L108&lt;31,"Adolescent",L108&gt;54,"Old")</f>
        <v>Middle Age</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cm="1">
        <f t="array" ref="M109">_xlfn.IFS(AND(L109&gt;=31,L109&lt;=54),"Middle Age",L109&lt;31,"Adolescent",L109&gt;54,"Old")</f>
        <v>Middle Age</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cm="1">
        <f t="array" ref="M110">_xlfn.IFS(AND(L110&gt;=31,L110&lt;=54),"Middle Age",L110&lt;31,"Adolescent",L110&gt;54,"Old")</f>
        <v>Middle Age</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cm="1">
        <f t="array" ref="M111">_xlfn.IFS(AND(L111&gt;=31,L111&lt;=54),"Middle Age",L111&lt;31,"Adolescent",L111&gt;54,"Old")</f>
        <v>Middle Age</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cm="1">
        <f t="array" ref="M112">_xlfn.IFS(AND(L112&gt;=31,L112&lt;=54),"Middle Age",L112&lt;31,"Adolescent",L112&gt;54,"Old")</f>
        <v>Middle Age</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cm="1">
        <f t="array" ref="M113">_xlfn.IFS(AND(L113&gt;=31,L113&lt;=54),"Middle Age",L113&lt;31,"Adolescent",L113&gt;54,"Old")</f>
        <v>Middle Age</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cm="1">
        <f t="array" ref="M114">_xlfn.IFS(AND(L114&gt;=31,L114&lt;=54),"Middle Age",L114&lt;31,"Adolescent",L114&gt;54,"Old")</f>
        <v>Middle Age</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cm="1">
        <f t="array" ref="M115">_xlfn.IFS(AND(L115&gt;=31,L115&lt;=54),"Middle Age",L115&lt;31,"Adolescent",L115&gt;54,"Old")</f>
        <v>Middle Age</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cm="1">
        <f t="array" ref="M116">_xlfn.IFS(AND(L116&gt;=31,L116&lt;=54),"Middle Age",L116&lt;31,"Adolescent",L116&gt;54,"Old")</f>
        <v>Adolescent</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cm="1">
        <f t="array" ref="M117">_xlfn.IFS(AND(L117&gt;=31,L117&lt;=54),"Middle Age",L117&lt;31,"Adolescent",L117&gt;54,"Old")</f>
        <v>Adolescent</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cm="1">
        <f t="array" ref="M118">_xlfn.IFS(AND(L118&gt;=31,L118&lt;=54),"Middle Age",L118&lt;31,"Adolescent",L118&gt;54,"Old")</f>
        <v>Middle Age</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cm="1">
        <f t="array" ref="M119">_xlfn.IFS(AND(L119&gt;=31,L119&lt;=54),"Middle Age",L119&lt;31,"Adolescent",L119&gt;54,"Old")</f>
        <v>Middle Age</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cm="1">
        <f t="array" ref="M120">_xlfn.IFS(AND(L120&gt;=31,L120&lt;=54),"Middle Age",L120&lt;31,"Adolescent",L120&gt;54,"Old")</f>
        <v>Old</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cm="1">
        <f t="array" ref="M121">_xlfn.IFS(AND(L121&gt;=31,L121&lt;=54),"Middle Age",L121&lt;31,"Adolescent",L121&gt;54,"Old")</f>
        <v>Adolescent</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cm="1">
        <f t="array" ref="M122">_xlfn.IFS(AND(L122&gt;=31,L122&lt;=54),"Middle Age",L122&lt;31,"Adolescent",L122&gt;54,"Old")</f>
        <v>Old</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cm="1">
        <f t="array" ref="M123">_xlfn.IFS(AND(L123&gt;=31,L123&lt;=54),"Middle Age",L123&lt;31,"Adolescent",L123&gt;54,"Old")</f>
        <v>Middle Age</v>
      </c>
      <c r="N123" t="s">
        <v>18</v>
      </c>
    </row>
    <row r="124" spans="1:14" x14ac:dyDescent="0.3">
      <c r="A124">
        <v>12344</v>
      </c>
      <c r="B124" t="s">
        <v>37</v>
      </c>
      <c r="C124" t="s">
        <v>38</v>
      </c>
      <c r="D124" s="3">
        <v>80000</v>
      </c>
      <c r="E124">
        <v>0</v>
      </c>
      <c r="F124" t="s">
        <v>13</v>
      </c>
      <c r="G124" t="s">
        <v>21</v>
      </c>
      <c r="H124" t="s">
        <v>18</v>
      </c>
      <c r="I124">
        <v>3</v>
      </c>
      <c r="J124" t="s">
        <v>46</v>
      </c>
      <c r="K124" t="s">
        <v>24</v>
      </c>
      <c r="L124">
        <v>31</v>
      </c>
      <c r="M124" t="str" cm="1">
        <f t="array" ref="M124">_xlfn.IFS(AND(L124&gt;=31,L124&lt;=54),"Middle Age",L124&lt;31,"Adolescent",L124&gt;54,"Old")</f>
        <v>Middle Age</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cm="1">
        <f t="array" ref="M125">_xlfn.IFS(AND(L125&gt;=31,L125&lt;=54),"Middle Age",L125&lt;31,"Adolescent",L125&gt;54,"Old")</f>
        <v>Old</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cm="1">
        <f t="array" ref="M126">_xlfn.IFS(AND(L126&gt;=31,L126&lt;=54),"Middle Age",L126&lt;31,"Adolescent",L126&gt;54,"Old")</f>
        <v>Middle Age</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cm="1">
        <f t="array" ref="M127">_xlfn.IFS(AND(L127&gt;=31,L127&lt;=54),"Middle Age",L127&lt;31,"Adolescent",L127&gt;54,"Old")</f>
        <v>Middle Age</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cm="1">
        <f t="array" ref="M128">_xlfn.IFS(AND(L128&gt;=31,L128&lt;=54),"Middle Age",L128&lt;31,"Adolescent",L128&gt;54,"Old")</f>
        <v>Middle Age</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cm="1">
        <f t="array" ref="M129">_xlfn.IFS(AND(L129&gt;=31,L129&lt;=54),"Middle Age",L129&lt;31,"Adolescent",L129&gt;54,"Old")</f>
        <v>Middle Age</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cm="1">
        <f t="array" ref="M130">_xlfn.IFS(AND(L130&gt;=31,L130&lt;=54),"Middle Age",L130&lt;31,"Adolescent",L130&gt;54,"Old")</f>
        <v>Middle Age</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cm="1">
        <f t="array" ref="M131">_xlfn.IFS(AND(L131&gt;=31,L131&lt;=54),"Middle Age",L131&lt;31,"Adolescent",L131&gt;54,"Old")</f>
        <v>Middle Age</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cm="1">
        <f t="array" ref="M132">_xlfn.IFS(AND(L132&gt;=31,L132&lt;=54),"Middle Age",L132&lt;31,"Adolescent",L132&gt;54,"Old")</f>
        <v>Middle Age</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cm="1">
        <f t="array" ref="M133">_xlfn.IFS(AND(L133&gt;=31,L133&lt;=54),"Middle Age",L133&lt;31,"Adolescent",L133&gt;54,"Old")</f>
        <v>Old</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cm="1">
        <f t="array" ref="M134">_xlfn.IFS(AND(L134&gt;=31,L134&lt;=54),"Middle Age",L134&lt;31,"Adolescent",L134&gt;54,"Old")</f>
        <v>Middle Age</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cm="1">
        <f t="array" ref="M135">_xlfn.IFS(AND(L135&gt;=31,L135&lt;=54),"Middle Age",L135&lt;31,"Adolescent",L135&gt;54,"Old")</f>
        <v>Old</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cm="1">
        <f t="array" ref="M136">_xlfn.IFS(AND(L136&gt;=31,L136&lt;=54),"Middle Age",L136&lt;31,"Adolescent",L136&gt;54,"Old")</f>
        <v>Middle Age</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cm="1">
        <f t="array" ref="M137">_xlfn.IFS(AND(L137&gt;=31,L137&lt;=54),"Middle Age",L137&lt;31,"Adolescent",L137&gt;54,"Old")</f>
        <v>Middle Age</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cm="1">
        <f t="array" ref="M138">_xlfn.IFS(AND(L138&gt;=31,L138&lt;=54),"Middle Age",L138&lt;31,"Adolescent",L138&gt;54,"Old")</f>
        <v>Middle Age</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cm="1">
        <f t="array" ref="M139">_xlfn.IFS(AND(L139&gt;=31,L139&lt;=54),"Middle Age",L139&lt;31,"Adolescent",L139&gt;54,"Old")</f>
        <v>Middle Age</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cm="1">
        <f t="array" ref="M140">_xlfn.IFS(AND(L140&gt;=31,L140&lt;=54),"Middle Age",L140&lt;31,"Adolescent",L140&gt;54,"Old")</f>
        <v>Old</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cm="1">
        <f t="array" ref="M141">_xlfn.IFS(AND(L141&gt;=31,L141&lt;=54),"Middle Age",L141&lt;31,"Adolescent",L141&gt;54,"Old")</f>
        <v>Old</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cm="1">
        <f t="array" ref="M142">_xlfn.IFS(AND(L142&gt;=31,L142&lt;=54),"Middle Age",L142&lt;31,"Adolescent",L142&gt;54,"Old")</f>
        <v>Middle Age</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cm="1">
        <f t="array" ref="M143">_xlfn.IFS(AND(L143&gt;=31,L143&lt;=54),"Middle Age",L143&lt;31,"Adolescent",L143&gt;54,"Old")</f>
        <v>Adolescent</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cm="1">
        <f t="array" ref="M144">_xlfn.IFS(AND(L144&gt;=31,L144&lt;=54),"Middle Age",L144&lt;31,"Adolescent",L144&gt;54,"Old")</f>
        <v>Middle Age</v>
      </c>
      <c r="N144" t="s">
        <v>15</v>
      </c>
    </row>
    <row r="145" spans="1:14" x14ac:dyDescent="0.3">
      <c r="A145">
        <v>16614</v>
      </c>
      <c r="B145" t="s">
        <v>36</v>
      </c>
      <c r="C145" t="s">
        <v>38</v>
      </c>
      <c r="D145" s="3">
        <v>80000</v>
      </c>
      <c r="E145">
        <v>0</v>
      </c>
      <c r="F145" t="s">
        <v>13</v>
      </c>
      <c r="G145" t="s">
        <v>21</v>
      </c>
      <c r="H145" t="s">
        <v>15</v>
      </c>
      <c r="I145">
        <v>3</v>
      </c>
      <c r="J145" t="s">
        <v>46</v>
      </c>
      <c r="K145" t="s">
        <v>24</v>
      </c>
      <c r="L145">
        <v>32</v>
      </c>
      <c r="M145" t="str" cm="1">
        <f t="array" ref="M145">_xlfn.IFS(AND(L145&gt;=31,L145&lt;=54),"Middle Age",L145&lt;31,"Adolescent",L145&gt;54,"Old")</f>
        <v>Middle Age</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cm="1">
        <f t="array" ref="M146">_xlfn.IFS(AND(L146&gt;=31,L146&lt;=54),"Middle Age",L146&lt;31,"Adolescent",L146&gt;54,"Old")</f>
        <v>Middle Age</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cm="1">
        <f t="array" ref="M147">_xlfn.IFS(AND(L147&gt;=31,L147&lt;=54),"Middle Age",L147&lt;31,"Adolescent",L147&gt;54,"Old")</f>
        <v>Middle Age</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cm="1">
        <f t="array" ref="M148">_xlfn.IFS(AND(L148&gt;=31,L148&lt;=54),"Middle Age",L148&lt;31,"Adolescent",L148&gt;54,"Old")</f>
        <v>Middle Age</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cm="1">
        <f t="array" ref="M149">_xlfn.IFS(AND(L149&gt;=31,L149&lt;=54),"Middle Age",L149&lt;31,"Adolescent",L149&gt;54,"Old")</f>
        <v>Middle Age</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cm="1">
        <f t="array" ref="M150">_xlfn.IFS(AND(L150&gt;=31,L150&lt;=54),"Middle Age",L150&lt;31,"Adolescent",L150&gt;54,"Old")</f>
        <v>Old</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cm="1">
        <f t="array" ref="M151">_xlfn.IFS(AND(L151&gt;=31,L151&lt;=54),"Middle Age",L151&lt;31,"Adolescent",L151&gt;54,"Old")</f>
        <v>Adolescent</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cm="1">
        <f t="array" ref="M152">_xlfn.IFS(AND(L152&gt;=31,L152&lt;=54),"Middle Age",L152&lt;31,"Adolescent",L152&gt;54,"Old")</f>
        <v>Middle Age</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cm="1">
        <f t="array" ref="M153">_xlfn.IFS(AND(L153&gt;=31,L153&lt;=54),"Middle Age",L153&lt;31,"Adolescent",L153&gt;54,"Old")</f>
        <v>Middle Age</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cm="1">
        <f t="array" ref="M154">_xlfn.IFS(AND(L154&gt;=31,L154&lt;=54),"Middle Age",L154&lt;31,"Adolescent",L154&gt;54,"Old")</f>
        <v>Middle Age</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cm="1">
        <f t="array" ref="M155">_xlfn.IFS(AND(L155&gt;=31,L155&lt;=54),"Middle Age",L155&lt;31,"Adolescent",L155&gt;54,"Old")</f>
        <v>Middle Age</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cm="1">
        <f t="array" ref="M156">_xlfn.IFS(AND(L156&gt;=31,L156&lt;=54),"Middle Age",L156&lt;31,"Adolescent",L156&gt;54,"Old")</f>
        <v>Middle Age</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cm="1">
        <f t="array" ref="M157">_xlfn.IFS(AND(L157&gt;=31,L157&lt;=54),"Middle Age",L157&lt;31,"Adolescent",L157&gt;54,"Old")</f>
        <v>Middle Age</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cm="1">
        <f t="array" ref="M158">_xlfn.IFS(AND(L158&gt;=31,L158&lt;=54),"Middle Age",L158&lt;31,"Adolescent",L158&gt;54,"Old")</f>
        <v>Old</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cm="1">
        <f t="array" ref="M159">_xlfn.IFS(AND(L159&gt;=31,L159&lt;=54),"Middle Age",L159&lt;31,"Adolescent",L159&gt;54,"Old")</f>
        <v>Middle Age</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cm="1">
        <f t="array" ref="M160">_xlfn.IFS(AND(L160&gt;=31,L160&lt;=54),"Middle Age",L160&lt;31,"Adolescent",L160&gt;54,"Old")</f>
        <v>Middle Age</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cm="1">
        <f t="array" ref="M161">_xlfn.IFS(AND(L161&gt;=31,L161&lt;=54),"Middle Age",L161&lt;31,"Adolescent",L161&gt;54,"Old")</f>
        <v>Middle Age</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cm="1">
        <f t="array" ref="M162">_xlfn.IFS(AND(L162&gt;=31,L162&lt;=54),"Middle Age",L162&lt;31,"Adolescent",L162&gt;54,"Old")</f>
        <v>Middle Age</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cm="1">
        <f t="array" ref="M163">_xlfn.IFS(AND(L163&gt;=31,L163&lt;=54),"Middle Age",L163&lt;31,"Adolescent",L163&gt;54,"Old")</f>
        <v>Middle Age</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cm="1">
        <f t="array" ref="M164">_xlfn.IFS(AND(L164&gt;=31,L164&lt;=54),"Middle Age",L164&lt;31,"Adolescent",L164&gt;54,"Old")</f>
        <v>Middle Age</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cm="1">
        <f t="array" ref="M165">_xlfn.IFS(AND(L165&gt;=31,L165&lt;=54),"Middle Age",L165&lt;31,"Adolescent",L165&gt;54,"Old")</f>
        <v>Middle Age</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cm="1">
        <f t="array" ref="M166">_xlfn.IFS(AND(L166&gt;=31,L166&lt;=54),"Middle Age",L166&lt;31,"Adolescent",L166&gt;54,"Old")</f>
        <v>Adolescent</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cm="1">
        <f t="array" ref="M167">_xlfn.IFS(AND(L167&gt;=31,L167&lt;=54),"Middle Age",L167&lt;31,"Adolescent",L167&gt;54,"Old")</f>
        <v>Adolescent</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cm="1">
        <f t="array" ref="M168">_xlfn.IFS(AND(L168&gt;=31,L168&lt;=54),"Middle Age",L168&lt;31,"Adolescent",L168&gt;54,"Old")</f>
        <v>Middle Age</v>
      </c>
      <c r="N168" t="s">
        <v>15</v>
      </c>
    </row>
    <row r="169" spans="1:14" x14ac:dyDescent="0.3">
      <c r="A169">
        <v>14233</v>
      </c>
      <c r="B169" t="s">
        <v>37</v>
      </c>
      <c r="C169" t="s">
        <v>39</v>
      </c>
      <c r="D169" s="3">
        <v>100000</v>
      </c>
      <c r="E169">
        <v>0</v>
      </c>
      <c r="F169" t="s">
        <v>27</v>
      </c>
      <c r="G169" t="s">
        <v>28</v>
      </c>
      <c r="H169" t="s">
        <v>15</v>
      </c>
      <c r="I169">
        <v>3</v>
      </c>
      <c r="J169" t="s">
        <v>46</v>
      </c>
      <c r="K169" t="s">
        <v>24</v>
      </c>
      <c r="L169">
        <v>35</v>
      </c>
      <c r="M169" t="str" cm="1">
        <f t="array" ref="M169">_xlfn.IFS(AND(L169&gt;=31,L169&lt;=54),"Middle Age",L169&lt;31,"Adolescent",L169&gt;54,"Old")</f>
        <v>Middle Age</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cm="1">
        <f t="array" ref="M170">_xlfn.IFS(AND(L170&gt;=31,L170&lt;=54),"Middle Age",L170&lt;31,"Adolescent",L170&gt;54,"Old")</f>
        <v>Middle Age</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cm="1">
        <f t="array" ref="M171">_xlfn.IFS(AND(L171&gt;=31,L171&lt;=54),"Middle Age",L171&lt;31,"Adolescent",L171&gt;54,"Old")</f>
        <v>Middle Age</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cm="1">
        <f t="array" ref="M172">_xlfn.IFS(AND(L172&gt;=31,L172&lt;=54),"Middle Age",L172&lt;31,"Adolescent",L172&gt;54,"Old")</f>
        <v>Old</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cm="1">
        <f t="array" ref="M173">_xlfn.IFS(AND(L173&gt;=31,L173&lt;=54),"Middle Age",L173&lt;31,"Adolescent",L173&gt;54,"Old")</f>
        <v>Old</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cm="1">
        <f t="array" ref="M174">_xlfn.IFS(AND(L174&gt;=31,L174&lt;=54),"Middle Age",L174&lt;31,"Adolescent",L174&gt;54,"Old")</f>
        <v>Middle Age</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cm="1">
        <f t="array" ref="M175">_xlfn.IFS(AND(L175&gt;=31,L175&lt;=54),"Middle Age",L175&lt;31,"Adolescent",L175&gt;54,"Old")</f>
        <v>Adolescent</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cm="1">
        <f t="array" ref="M176">_xlfn.IFS(AND(L176&gt;=31,L176&lt;=54),"Middle Age",L176&lt;31,"Adolescent",L176&gt;54,"Old")</f>
        <v>Middle Age</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cm="1">
        <f t="array" ref="M177">_xlfn.IFS(AND(L177&gt;=31,L177&lt;=54),"Middle Age",L177&lt;31,"Adolescent",L177&gt;54,"Old")</f>
        <v>Middle Age</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cm="1">
        <f t="array" ref="M178">_xlfn.IFS(AND(L178&gt;=31,L178&lt;=54),"Middle Age",L178&lt;31,"Adolescent",L178&gt;54,"Old")</f>
        <v>Adolescent</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cm="1">
        <f t="array" ref="M179">_xlfn.IFS(AND(L179&gt;=31,L179&lt;=54),"Middle Age",L179&lt;31,"Adolescent",L179&gt;54,"Old")</f>
        <v>Middle Age</v>
      </c>
      <c r="N179" t="s">
        <v>18</v>
      </c>
    </row>
    <row r="180" spans="1:14" x14ac:dyDescent="0.3">
      <c r="A180">
        <v>14191</v>
      </c>
      <c r="B180" t="s">
        <v>36</v>
      </c>
      <c r="C180" t="s">
        <v>39</v>
      </c>
      <c r="D180" s="3">
        <v>160000</v>
      </c>
      <c r="E180">
        <v>4</v>
      </c>
      <c r="F180" t="s">
        <v>19</v>
      </c>
      <c r="G180" t="s">
        <v>21</v>
      </c>
      <c r="H180" t="s">
        <v>18</v>
      </c>
      <c r="I180">
        <v>2</v>
      </c>
      <c r="J180" t="s">
        <v>46</v>
      </c>
      <c r="K180" t="s">
        <v>17</v>
      </c>
      <c r="L180">
        <v>55</v>
      </c>
      <c r="M180" t="str" cm="1">
        <f t="array" ref="M180">_xlfn.IFS(AND(L180&gt;=31,L180&lt;=54),"Middle Age",L180&lt;31,"Adolescent",L180&gt;54,"Old")</f>
        <v>Old</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cm="1">
        <f t="array" ref="M181">_xlfn.IFS(AND(L181&gt;=31,L181&lt;=54),"Middle Age",L181&lt;31,"Adolescent",L181&gt;54,"Old")</f>
        <v>Middle Age</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cm="1">
        <f t="array" ref="M182">_xlfn.IFS(AND(L182&gt;=31,L182&lt;=54),"Middle Age",L182&lt;31,"Adolescent",L182&gt;54,"Old")</f>
        <v>Middle Age</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cm="1">
        <f t="array" ref="M183">_xlfn.IFS(AND(L183&gt;=31,L183&lt;=54),"Middle Age",L183&lt;31,"Adolescent",L183&gt;54,"Old")</f>
        <v>Old</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cm="1">
        <f t="array" ref="M184">_xlfn.IFS(AND(L184&gt;=31,L184&lt;=54),"Middle Age",L184&lt;31,"Adolescent",L184&gt;54,"Old")</f>
        <v>Middle Age</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cm="1">
        <f t="array" ref="M185">_xlfn.IFS(AND(L185&gt;=31,L185&lt;=54),"Middle Age",L185&lt;31,"Adolescent",L185&gt;54,"Old")</f>
        <v>Old</v>
      </c>
      <c r="N185" t="s">
        <v>15</v>
      </c>
    </row>
    <row r="186" spans="1:14" x14ac:dyDescent="0.3">
      <c r="A186">
        <v>28918</v>
      </c>
      <c r="B186" t="s">
        <v>36</v>
      </c>
      <c r="C186" t="s">
        <v>38</v>
      </c>
      <c r="D186" s="3">
        <v>130000</v>
      </c>
      <c r="E186">
        <v>4</v>
      </c>
      <c r="F186" t="s">
        <v>27</v>
      </c>
      <c r="G186" t="s">
        <v>28</v>
      </c>
      <c r="H186" t="s">
        <v>18</v>
      </c>
      <c r="I186">
        <v>4</v>
      </c>
      <c r="J186" t="s">
        <v>46</v>
      </c>
      <c r="K186" t="s">
        <v>17</v>
      </c>
      <c r="L186">
        <v>58</v>
      </c>
      <c r="M186" t="str" cm="1">
        <f t="array" ref="M186">_xlfn.IFS(AND(L186&gt;=31,L186&lt;=54),"Middle Age",L186&lt;31,"Adolescent",L186&gt;54,"Old")</f>
        <v>Old</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cm="1">
        <f t="array" ref="M187">_xlfn.IFS(AND(L187&gt;=31,L187&lt;=54),"Middle Age",L187&lt;31,"Adolescent",L187&gt;54,"Old")</f>
        <v>Middle Age</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cm="1">
        <f t="array" ref="M188">_xlfn.IFS(AND(L188&gt;=31,L188&lt;=54),"Middle Age",L188&lt;31,"Adolescent",L188&gt;54,"Old")</f>
        <v>Old</v>
      </c>
      <c r="N188" t="s">
        <v>15</v>
      </c>
    </row>
    <row r="189" spans="1:14" x14ac:dyDescent="0.3">
      <c r="A189">
        <v>18151</v>
      </c>
      <c r="B189" t="s">
        <v>37</v>
      </c>
      <c r="C189" t="s">
        <v>39</v>
      </c>
      <c r="D189" s="3">
        <v>80000</v>
      </c>
      <c r="E189">
        <v>5</v>
      </c>
      <c r="F189" t="s">
        <v>19</v>
      </c>
      <c r="G189" t="s">
        <v>21</v>
      </c>
      <c r="H189" t="s">
        <v>18</v>
      </c>
      <c r="I189">
        <v>2</v>
      </c>
      <c r="J189" t="s">
        <v>46</v>
      </c>
      <c r="K189" t="s">
        <v>17</v>
      </c>
      <c r="L189">
        <v>59</v>
      </c>
      <c r="M189" t="str" cm="1">
        <f t="array" ref="M189">_xlfn.IFS(AND(L189&gt;=31,L189&lt;=54),"Middle Age",L189&lt;31,"Adolescent",L189&gt;54,"Old")</f>
        <v>Old</v>
      </c>
      <c r="N189" t="s">
        <v>18</v>
      </c>
    </row>
    <row r="190" spans="1:14" x14ac:dyDescent="0.3">
      <c r="A190">
        <v>20606</v>
      </c>
      <c r="B190" t="s">
        <v>36</v>
      </c>
      <c r="C190" t="s">
        <v>38</v>
      </c>
      <c r="D190" s="3">
        <v>70000</v>
      </c>
      <c r="E190">
        <v>0</v>
      </c>
      <c r="F190" t="s">
        <v>13</v>
      </c>
      <c r="G190" t="s">
        <v>21</v>
      </c>
      <c r="H190" t="s">
        <v>15</v>
      </c>
      <c r="I190">
        <v>4</v>
      </c>
      <c r="J190" t="s">
        <v>46</v>
      </c>
      <c r="K190" t="s">
        <v>24</v>
      </c>
      <c r="L190">
        <v>32</v>
      </c>
      <c r="M190" t="str" cm="1">
        <f t="array" ref="M190">_xlfn.IFS(AND(L190&gt;=31,L190&lt;=54),"Middle Age",L190&lt;31,"Adolescent",L190&gt;54,"Old")</f>
        <v>Middle Age</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cm="1">
        <f t="array" ref="M191">_xlfn.IFS(AND(L191&gt;=31,L191&lt;=54),"Middle Age",L191&lt;31,"Adolescent",L191&gt;54,"Old")</f>
        <v>Middle Age</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cm="1">
        <f t="array" ref="M192">_xlfn.IFS(AND(L192&gt;=31,L192&lt;=54),"Middle Age",L192&lt;31,"Adolescent",L192&gt;54,"Old")</f>
        <v>Old</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cm="1">
        <f t="array" ref="M193">_xlfn.IFS(AND(L193&gt;=31,L193&lt;=54),"Middle Age",L193&lt;31,"Adolescent",L193&gt;54,"Old")</f>
        <v>Middle Age</v>
      </c>
      <c r="N193" t="s">
        <v>15</v>
      </c>
    </row>
    <row r="194" spans="1:14" x14ac:dyDescent="0.3">
      <c r="A194">
        <v>15682</v>
      </c>
      <c r="B194" t="s">
        <v>37</v>
      </c>
      <c r="C194" t="s">
        <v>38</v>
      </c>
      <c r="D194" s="3">
        <v>80000</v>
      </c>
      <c r="E194">
        <v>5</v>
      </c>
      <c r="F194" t="s">
        <v>13</v>
      </c>
      <c r="G194" t="s">
        <v>28</v>
      </c>
      <c r="H194" t="s">
        <v>15</v>
      </c>
      <c r="I194">
        <v>2</v>
      </c>
      <c r="J194" t="s">
        <v>46</v>
      </c>
      <c r="K194" t="s">
        <v>17</v>
      </c>
      <c r="L194">
        <v>62</v>
      </c>
      <c r="M194" t="str" cm="1">
        <f t="array" ref="M194">_xlfn.IFS(AND(L194&gt;=31,L194&lt;=54),"Middle Age",L194&lt;31,"Adolescent",L194&gt;54,"Old")</f>
        <v>Old</v>
      </c>
      <c r="N194" t="s">
        <v>18</v>
      </c>
    </row>
    <row r="195" spans="1:14" x14ac:dyDescent="0.3">
      <c r="A195">
        <v>26032</v>
      </c>
      <c r="B195" t="s">
        <v>36</v>
      </c>
      <c r="C195" t="s">
        <v>38</v>
      </c>
      <c r="D195" s="3">
        <v>70000</v>
      </c>
      <c r="E195">
        <v>5</v>
      </c>
      <c r="F195" t="s">
        <v>13</v>
      </c>
      <c r="G195" t="s">
        <v>21</v>
      </c>
      <c r="H195" t="s">
        <v>15</v>
      </c>
      <c r="I195">
        <v>4</v>
      </c>
      <c r="J195" t="s">
        <v>46</v>
      </c>
      <c r="K195" t="s">
        <v>24</v>
      </c>
      <c r="L195">
        <v>41</v>
      </c>
      <c r="M195" t="str" cm="1">
        <f t="array" ref="M195">_xlfn.IFS(AND(L195&gt;=31,L195&lt;=54),"Middle Age",L195&lt;31,"Adolescent",L195&gt;54,"Old")</f>
        <v>Middle Age</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cm="1">
        <f t="array" ref="M196">_xlfn.IFS(AND(L196&gt;=31,L196&lt;=54),"Middle Age",L196&lt;31,"Adolescent",L196&gt;54,"Old")</f>
        <v>Middle Age</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cm="1">
        <f t="array" ref="M197">_xlfn.IFS(AND(L197&gt;=31,L197&lt;=54),"Middle Age",L197&lt;31,"Adolescent",L197&gt;54,"Old")</f>
        <v>Adolescent</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cm="1">
        <f t="array" ref="M198">_xlfn.IFS(AND(L198&gt;=31,L198&lt;=54),"Middle Age",L198&lt;31,"Adolescent",L198&gt;54,"Old")</f>
        <v>Middle Age</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cm="1">
        <f t="array" ref="M199">_xlfn.IFS(AND(L199&gt;=31,L199&lt;=54),"Middle Age",L199&lt;31,"Adolescent",L199&gt;54,"Old")</f>
        <v>Old</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cm="1">
        <f t="array" ref="M200">_xlfn.IFS(AND(L200&gt;=31,L200&lt;=54),"Middle Age",L200&lt;31,"Adolescent",L200&gt;54,"Old")</f>
        <v>Middle Age</v>
      </c>
      <c r="N200" t="s">
        <v>15</v>
      </c>
    </row>
    <row r="201" spans="1:14" x14ac:dyDescent="0.3">
      <c r="A201">
        <v>11453</v>
      </c>
      <c r="B201" t="s">
        <v>37</v>
      </c>
      <c r="C201" t="s">
        <v>39</v>
      </c>
      <c r="D201" s="3">
        <v>80000</v>
      </c>
      <c r="E201">
        <v>0</v>
      </c>
      <c r="F201" t="s">
        <v>13</v>
      </c>
      <c r="G201" t="s">
        <v>21</v>
      </c>
      <c r="H201" t="s">
        <v>18</v>
      </c>
      <c r="I201">
        <v>3</v>
      </c>
      <c r="J201" t="s">
        <v>46</v>
      </c>
      <c r="K201" t="s">
        <v>24</v>
      </c>
      <c r="L201">
        <v>33</v>
      </c>
      <c r="M201" t="str" cm="1">
        <f t="array" ref="M201">_xlfn.IFS(AND(L201&gt;=31,L201&lt;=54),"Middle Age",L201&lt;31,"Adolescent",L201&gt;54,"Old")</f>
        <v>Middle Age</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cm="1">
        <f t="array" ref="M202">_xlfn.IFS(AND(L202&gt;=31,L202&lt;=54),"Middle Age",L202&lt;31,"Adolescent",L202&gt;54,"Old")</f>
        <v>Middle Age</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cm="1">
        <f t="array" ref="M203">_xlfn.IFS(AND(L203&gt;=31,L203&lt;=54),"Middle Age",L203&lt;31,"Adolescent",L203&gt;54,"Old")</f>
        <v>Adolescent</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cm="1">
        <f t="array" ref="M204">_xlfn.IFS(AND(L204&gt;=31,L204&lt;=54),"Middle Age",L204&lt;31,"Adolescent",L204&gt;54,"Old")</f>
        <v>Middle Age</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cm="1">
        <f t="array" ref="M205">_xlfn.IFS(AND(L205&gt;=31,L205&lt;=54),"Middle Age",L205&lt;31,"Adolescent",L205&gt;54,"Old")</f>
        <v>Middle Age</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cm="1">
        <f t="array" ref="M206">_xlfn.IFS(AND(L206&gt;=31,L206&lt;=54),"Middle Age",L206&lt;31,"Adolescent",L206&gt;54,"Old")</f>
        <v>Middle Age</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cm="1">
        <f t="array" ref="M207">_xlfn.IFS(AND(L207&gt;=31,L207&lt;=54),"Middle Age",L207&lt;31,"Adolescent",L207&gt;54,"Old")</f>
        <v>Middle Age</v>
      </c>
      <c r="N207" t="s">
        <v>15</v>
      </c>
    </row>
    <row r="208" spans="1:14" x14ac:dyDescent="0.3">
      <c r="A208">
        <v>11415</v>
      </c>
      <c r="B208" t="s">
        <v>37</v>
      </c>
      <c r="C208" t="s">
        <v>39</v>
      </c>
      <c r="D208" s="3">
        <v>90000</v>
      </c>
      <c r="E208">
        <v>5</v>
      </c>
      <c r="F208" t="s">
        <v>19</v>
      </c>
      <c r="G208" t="s">
        <v>21</v>
      </c>
      <c r="H208" t="s">
        <v>18</v>
      </c>
      <c r="I208">
        <v>2</v>
      </c>
      <c r="J208" t="s">
        <v>46</v>
      </c>
      <c r="K208" t="s">
        <v>17</v>
      </c>
      <c r="L208">
        <v>62</v>
      </c>
      <c r="M208" t="str" cm="1">
        <f t="array" ref="M208">_xlfn.IFS(AND(L208&gt;=31,L208&lt;=54),"Middle Age",L208&lt;31,"Adolescent",L208&gt;54,"Old")</f>
        <v>Old</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cm="1">
        <f t="array" ref="M209">_xlfn.IFS(AND(L209&gt;=31,L209&lt;=54),"Middle Age",L209&lt;31,"Adolescent",L209&gt;54,"Old")</f>
        <v>Adolescent</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cm="1">
        <f t="array" ref="M210">_xlfn.IFS(AND(L210&gt;=31,L210&lt;=54),"Middle Age",L210&lt;31,"Adolescent",L210&gt;54,"Old")</f>
        <v>Middle Age</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cm="1">
        <f t="array" ref="M211">_xlfn.IFS(AND(L211&gt;=31,L211&lt;=54),"Middle Age",L211&lt;31,"Adolescent",L211&gt;54,"Old")</f>
        <v>Middle Age</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cm="1">
        <f t="array" ref="M212">_xlfn.IFS(AND(L212&gt;=31,L212&lt;=54),"Middle Age",L212&lt;31,"Adolescent",L212&gt;54,"Old")</f>
        <v>Middle Age</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cm="1">
        <f t="array" ref="M213">_xlfn.IFS(AND(L213&gt;=31,L213&lt;=54),"Middle Age",L213&lt;31,"Adolescent",L213&gt;54,"Old")</f>
        <v>Middle Age</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cm="1">
        <f t="array" ref="M214">_xlfn.IFS(AND(L214&gt;=31,L214&lt;=54),"Middle Age",L214&lt;31,"Adolescent",L214&gt;54,"Old")</f>
        <v>Adolescent</v>
      </c>
      <c r="N214" t="s">
        <v>18</v>
      </c>
    </row>
    <row r="215" spans="1:14" x14ac:dyDescent="0.3">
      <c r="A215">
        <v>11451</v>
      </c>
      <c r="B215" t="s">
        <v>37</v>
      </c>
      <c r="C215" t="s">
        <v>39</v>
      </c>
      <c r="D215" s="3">
        <v>70000</v>
      </c>
      <c r="E215">
        <v>0</v>
      </c>
      <c r="F215" t="s">
        <v>13</v>
      </c>
      <c r="G215" t="s">
        <v>21</v>
      </c>
      <c r="H215" t="s">
        <v>18</v>
      </c>
      <c r="I215">
        <v>4</v>
      </c>
      <c r="J215" t="s">
        <v>46</v>
      </c>
      <c r="K215" t="s">
        <v>24</v>
      </c>
      <c r="L215">
        <v>31</v>
      </c>
      <c r="M215" t="str" cm="1">
        <f t="array" ref="M215">_xlfn.IFS(AND(L215&gt;=31,L215&lt;=54),"Middle Age",L215&lt;31,"Adolescent",L215&gt;54,"Old")</f>
        <v>Middle Age</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cm="1">
        <f t="array" ref="M216">_xlfn.IFS(AND(L216&gt;=31,L216&lt;=54),"Middle Age",L216&lt;31,"Adolescent",L216&gt;54,"Old")</f>
        <v>Old</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cm="1">
        <f t="array" ref="M217">_xlfn.IFS(AND(L217&gt;=31,L217&lt;=54),"Middle Age",L217&lt;31,"Adolescent",L217&gt;54,"Old")</f>
        <v>Middle Age</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cm="1">
        <f t="array" ref="M218">_xlfn.IFS(AND(L218&gt;=31,L218&lt;=54),"Middle Age",L218&lt;31,"Adolescent",L218&gt;54,"Old")</f>
        <v>Middle Age</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cm="1">
        <f t="array" ref="M219">_xlfn.IFS(AND(L219&gt;=31,L219&lt;=54),"Middle Age",L219&lt;31,"Adolescent",L219&gt;54,"Old")</f>
        <v>Adolescent</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cm="1">
        <f t="array" ref="M220">_xlfn.IFS(AND(L220&gt;=31,L220&lt;=54),"Middle Age",L220&lt;31,"Adolescent",L220&gt;54,"Old")</f>
        <v>Middle Age</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cm="1">
        <f t="array" ref="M221">_xlfn.IFS(AND(L221&gt;=31,L221&lt;=54),"Middle Age",L221&lt;31,"Adolescent",L221&gt;54,"Old")</f>
        <v>Adolescent</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cm="1">
        <f t="array" ref="M222">_xlfn.IFS(AND(L222&gt;=31,L222&lt;=54),"Middle Age",L222&lt;31,"Adolescent",L222&gt;54,"Old")</f>
        <v>Middle Age</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cm="1">
        <f t="array" ref="M223">_xlfn.IFS(AND(L223&gt;=31,L223&lt;=54),"Middle Age",L223&lt;31,"Adolescent",L223&gt;54,"Old")</f>
        <v>Middle Age</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cm="1">
        <f t="array" ref="M224">_xlfn.IFS(AND(L224&gt;=31,L224&lt;=54),"Middle Age",L224&lt;31,"Adolescent",L224&gt;54,"Old")</f>
        <v>Middle Age</v>
      </c>
      <c r="N224" t="s">
        <v>18</v>
      </c>
    </row>
    <row r="225" spans="1:14" x14ac:dyDescent="0.3">
      <c r="A225">
        <v>18711</v>
      </c>
      <c r="B225" t="s">
        <v>37</v>
      </c>
      <c r="C225" t="s">
        <v>38</v>
      </c>
      <c r="D225" s="3">
        <v>70000</v>
      </c>
      <c r="E225">
        <v>5</v>
      </c>
      <c r="F225" t="s">
        <v>13</v>
      </c>
      <c r="G225" t="s">
        <v>21</v>
      </c>
      <c r="H225" t="s">
        <v>15</v>
      </c>
      <c r="I225">
        <v>4</v>
      </c>
      <c r="J225" t="s">
        <v>46</v>
      </c>
      <c r="K225" t="s">
        <v>24</v>
      </c>
      <c r="L225">
        <v>39</v>
      </c>
      <c r="M225" t="str" cm="1">
        <f t="array" ref="M225">_xlfn.IFS(AND(L225&gt;=31,L225&lt;=54),"Middle Age",L225&lt;31,"Adolescent",L225&gt;54,"Old")</f>
        <v>Middle Age</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cm="1">
        <f t="array" ref="M226">_xlfn.IFS(AND(L226&gt;=31,L226&lt;=54),"Middle Age",L226&lt;31,"Adolescent",L226&gt;54,"Old")</f>
        <v>Old</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cm="1">
        <f t="array" ref="M227">_xlfn.IFS(AND(L227&gt;=31,L227&lt;=54),"Middle Age",L227&lt;31,"Adolescent",L227&gt;54,"Old")</f>
        <v>Middle Age</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cm="1">
        <f t="array" ref="M228">_xlfn.IFS(AND(L228&gt;=31,L228&lt;=54),"Middle Age",L228&lt;31,"Adolescent",L228&gt;54,"Old")</f>
        <v>Middle Age</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cm="1">
        <f t="array" ref="M229">_xlfn.IFS(AND(L229&gt;=31,L229&lt;=54),"Middle Age",L229&lt;31,"Adolescent",L229&gt;54,"Old")</f>
        <v>Middle Age</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cm="1">
        <f t="array" ref="M230">_xlfn.IFS(AND(L230&gt;=31,L230&lt;=54),"Middle Age",L230&lt;31,"Adolescent",L230&gt;54,"Old")</f>
        <v>Middle Age</v>
      </c>
      <c r="N230" t="s">
        <v>18</v>
      </c>
    </row>
    <row r="231" spans="1:14" x14ac:dyDescent="0.3">
      <c r="A231">
        <v>28915</v>
      </c>
      <c r="B231" t="s">
        <v>37</v>
      </c>
      <c r="C231" t="s">
        <v>39</v>
      </c>
      <c r="D231" s="3">
        <v>80000</v>
      </c>
      <c r="E231">
        <v>5</v>
      </c>
      <c r="F231" t="s">
        <v>27</v>
      </c>
      <c r="G231" t="s">
        <v>28</v>
      </c>
      <c r="H231" t="s">
        <v>15</v>
      </c>
      <c r="I231">
        <v>3</v>
      </c>
      <c r="J231" t="s">
        <v>46</v>
      </c>
      <c r="K231" t="s">
        <v>17</v>
      </c>
      <c r="L231">
        <v>57</v>
      </c>
      <c r="M231" t="str" cm="1">
        <f t="array" ref="M231">_xlfn.IFS(AND(L231&gt;=31,L231&lt;=54),"Middle Age",L231&lt;31,"Adolescent",L231&gt;54,"Old")</f>
        <v>Old</v>
      </c>
      <c r="N231" t="s">
        <v>18</v>
      </c>
    </row>
    <row r="232" spans="1:14" x14ac:dyDescent="0.3">
      <c r="A232">
        <v>22830</v>
      </c>
      <c r="B232" t="s">
        <v>36</v>
      </c>
      <c r="C232" t="s">
        <v>39</v>
      </c>
      <c r="D232" s="3">
        <v>120000</v>
      </c>
      <c r="E232">
        <v>4</v>
      </c>
      <c r="F232" t="s">
        <v>19</v>
      </c>
      <c r="G232" t="s">
        <v>28</v>
      </c>
      <c r="H232" t="s">
        <v>15</v>
      </c>
      <c r="I232">
        <v>3</v>
      </c>
      <c r="J232" t="s">
        <v>46</v>
      </c>
      <c r="K232" t="s">
        <v>17</v>
      </c>
      <c r="L232">
        <v>56</v>
      </c>
      <c r="M232" t="str" cm="1">
        <f t="array" ref="M232">_xlfn.IFS(AND(L232&gt;=31,L232&lt;=54),"Middle Age",L232&lt;31,"Adolescent",L232&gt;54,"Old")</f>
        <v>Old</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cm="1">
        <f t="array" ref="M233">_xlfn.IFS(AND(L233&gt;=31,L233&lt;=54),"Middle Age",L233&lt;31,"Adolescent",L233&gt;54,"Old")</f>
        <v>Middle Age</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cm="1">
        <f t="array" ref="M234">_xlfn.IFS(AND(L234&gt;=31,L234&lt;=54),"Middle Age",L234&lt;31,"Adolescent",L234&gt;54,"Old")</f>
        <v>Middle Age</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cm="1">
        <f t="array" ref="M235">_xlfn.IFS(AND(L235&gt;=31,L235&lt;=54),"Middle Age",L235&lt;31,"Adolescent",L235&gt;54,"Old")</f>
        <v>Adolescent</v>
      </c>
      <c r="N235" t="s">
        <v>15</v>
      </c>
    </row>
    <row r="236" spans="1:14" x14ac:dyDescent="0.3">
      <c r="A236">
        <v>24611</v>
      </c>
      <c r="B236" t="s">
        <v>37</v>
      </c>
      <c r="C236" t="s">
        <v>39</v>
      </c>
      <c r="D236" s="3">
        <v>90000</v>
      </c>
      <c r="E236">
        <v>0</v>
      </c>
      <c r="F236" t="s">
        <v>13</v>
      </c>
      <c r="G236" t="s">
        <v>21</v>
      </c>
      <c r="H236" t="s">
        <v>18</v>
      </c>
      <c r="I236">
        <v>4</v>
      </c>
      <c r="J236" t="s">
        <v>46</v>
      </c>
      <c r="K236" t="s">
        <v>24</v>
      </c>
      <c r="L236">
        <v>35</v>
      </c>
      <c r="M236" t="str" cm="1">
        <f t="array" ref="M236">_xlfn.IFS(AND(L236&gt;=31,L236&lt;=54),"Middle Age",L236&lt;31,"Adolescent",L236&gt;54,"Old")</f>
        <v>Middle Age</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cm="1">
        <f t="array" ref="M237">_xlfn.IFS(AND(L237&gt;=31,L237&lt;=54),"Middle Age",L237&lt;31,"Adolescent",L237&gt;54,"Old")</f>
        <v>Old</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cm="1">
        <f t="array" ref="M238">_xlfn.IFS(AND(L238&gt;=31,L238&lt;=54),"Middle Age",L238&lt;31,"Adolescent",L238&gt;54,"Old")</f>
        <v>Middle Age</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cm="1">
        <f t="array" ref="M239">_xlfn.IFS(AND(L239&gt;=31,L239&lt;=54),"Middle Age",L239&lt;31,"Adolescent",L239&gt;54,"Old")</f>
        <v>Adolescent</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cm="1">
        <f t="array" ref="M240">_xlfn.IFS(AND(L240&gt;=31,L240&lt;=54),"Middle Age",L240&lt;31,"Adolescent",L240&gt;54,"Old")</f>
        <v>Middle Age</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cm="1">
        <f t="array" ref="M241">_xlfn.IFS(AND(L241&gt;=31,L241&lt;=54),"Middle Age",L241&lt;31,"Adolescent",L241&gt;54,"Old")</f>
        <v>Middle Age</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cm="1">
        <f t="array" ref="M242">_xlfn.IFS(AND(L242&gt;=31,L242&lt;=54),"Middle Age",L242&lt;31,"Adolescent",L242&gt;54,"Old")</f>
        <v>Middle Age</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cm="1">
        <f t="array" ref="M243">_xlfn.IFS(AND(L243&gt;=31,L243&lt;=54),"Middle Age",L243&lt;31,"Adolescent",L243&gt;54,"Old")</f>
        <v>Adolescent</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cm="1">
        <f t="array" ref="M244">_xlfn.IFS(AND(L244&gt;=31,L244&lt;=54),"Middle Age",L244&lt;31,"Adolescent",L244&gt;54,"Old")</f>
        <v>Middle Age</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cm="1">
        <f t="array" ref="M245">_xlfn.IFS(AND(L245&gt;=31,L245&lt;=54),"Middle Age",L245&lt;31,"Adolescent",L245&gt;54,"Old")</f>
        <v>Adolescent</v>
      </c>
      <c r="N245" t="s">
        <v>18</v>
      </c>
    </row>
    <row r="246" spans="1:14" x14ac:dyDescent="0.3">
      <c r="A246">
        <v>19057</v>
      </c>
      <c r="B246" t="s">
        <v>36</v>
      </c>
      <c r="C246" t="s">
        <v>38</v>
      </c>
      <c r="D246" s="3">
        <v>120000</v>
      </c>
      <c r="E246">
        <v>3</v>
      </c>
      <c r="F246" t="s">
        <v>13</v>
      </c>
      <c r="G246" t="s">
        <v>28</v>
      </c>
      <c r="H246" t="s">
        <v>18</v>
      </c>
      <c r="I246">
        <v>2</v>
      </c>
      <c r="J246" t="s">
        <v>46</v>
      </c>
      <c r="K246" t="s">
        <v>17</v>
      </c>
      <c r="L246">
        <v>52</v>
      </c>
      <c r="M246" t="str" cm="1">
        <f t="array" ref="M246">_xlfn.IFS(AND(L246&gt;=31,L246&lt;=54),"Middle Age",L246&lt;31,"Adolescent",L246&gt;54,"Old")</f>
        <v>Middle Age</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cm="1">
        <f t="array" ref="M247">_xlfn.IFS(AND(L247&gt;=31,L247&lt;=54),"Middle Age",L247&lt;31,"Adolescent",L247&gt;54,"Old")</f>
        <v>Middle Age</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cm="1">
        <f t="array" ref="M248">_xlfn.IFS(AND(L248&gt;=31,L248&lt;=54),"Middle Age",L248&lt;31,"Adolescent",L248&gt;54,"Old")</f>
        <v>Middle Age</v>
      </c>
      <c r="N248" t="s">
        <v>15</v>
      </c>
    </row>
    <row r="249" spans="1:14" x14ac:dyDescent="0.3">
      <c r="A249">
        <v>21568</v>
      </c>
      <c r="B249" t="s">
        <v>36</v>
      </c>
      <c r="C249" t="s">
        <v>38</v>
      </c>
      <c r="D249" s="3">
        <v>100000</v>
      </c>
      <c r="E249">
        <v>0</v>
      </c>
      <c r="F249" t="s">
        <v>27</v>
      </c>
      <c r="G249" t="s">
        <v>28</v>
      </c>
      <c r="H249" t="s">
        <v>15</v>
      </c>
      <c r="I249">
        <v>4</v>
      </c>
      <c r="J249" t="s">
        <v>46</v>
      </c>
      <c r="K249" t="s">
        <v>24</v>
      </c>
      <c r="L249">
        <v>34</v>
      </c>
      <c r="M249" t="str" cm="1">
        <f t="array" ref="M249">_xlfn.IFS(AND(L249&gt;=31,L249&lt;=54),"Middle Age",L249&lt;31,"Adolescent",L249&gt;54,"Old")</f>
        <v>Middle Age</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cm="1">
        <f t="array" ref="M250">_xlfn.IFS(AND(L250&gt;=31,L250&lt;=54),"Middle Age",L250&lt;31,"Adolescent",L250&gt;54,"Old")</f>
        <v>Old</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cm="1">
        <f t="array" ref="M251">_xlfn.IFS(AND(L251&gt;=31,L251&lt;=54),"Middle Age",L251&lt;31,"Adolescent",L251&gt;54,"Old")</f>
        <v>Middle Age</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cm="1">
        <f t="array" ref="M252">_xlfn.IFS(AND(L252&gt;=31,L252&lt;=54),"Middle Age",L252&lt;31,"Adolescent",L252&gt;54,"Old")</f>
        <v>Old</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cm="1">
        <f t="array" ref="M253">_xlfn.IFS(AND(L253&gt;=31,L253&lt;=54),"Middle Age",L253&lt;31,"Adolescent",L253&gt;54,"Old")</f>
        <v>Old</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cm="1">
        <f t="array" ref="M254">_xlfn.IFS(AND(L254&gt;=31,L254&lt;=54),"Middle Age",L254&lt;31,"Adolescent",L254&gt;54,"Old")</f>
        <v>Middle Age</v>
      </c>
      <c r="N254" t="s">
        <v>18</v>
      </c>
    </row>
    <row r="255" spans="1:14" x14ac:dyDescent="0.3">
      <c r="A255">
        <v>20598</v>
      </c>
      <c r="B255" t="s">
        <v>36</v>
      </c>
      <c r="C255" t="s">
        <v>39</v>
      </c>
      <c r="D255" s="3">
        <v>100000</v>
      </c>
      <c r="E255">
        <v>3</v>
      </c>
      <c r="F255" t="s">
        <v>29</v>
      </c>
      <c r="G255" t="s">
        <v>21</v>
      </c>
      <c r="H255" t="s">
        <v>15</v>
      </c>
      <c r="I255">
        <v>0</v>
      </c>
      <c r="J255" t="s">
        <v>46</v>
      </c>
      <c r="K255" t="s">
        <v>17</v>
      </c>
      <c r="L255">
        <v>59</v>
      </c>
      <c r="M255" t="str" cm="1">
        <f t="array" ref="M255">_xlfn.IFS(AND(L255&gt;=31,L255&lt;=54),"Middle Age",L255&lt;31,"Adolescent",L255&gt;54,"Old")</f>
        <v>Old</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cm="1">
        <f t="array" ref="M256">_xlfn.IFS(AND(L256&gt;=31,L256&lt;=54),"Middle Age",L256&lt;31,"Adolescent",L256&gt;54,"Old")</f>
        <v>Old</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cm="1">
        <f t="array" ref="M257">_xlfn.IFS(AND(L257&gt;=31,L257&lt;=54),"Middle Age",L257&lt;31,"Adolescent",L257&gt;54,"Old")</f>
        <v>Middle Age</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cm="1">
        <f t="array" ref="M258">_xlfn.IFS(AND(L258&gt;=31,L258&lt;=54),"Middle Age",L258&lt;31,"Adolescent",L258&gt;54,"Old")</f>
        <v>Middle Age</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cm="1">
        <f t="array" ref="M259">_xlfn.IFS(AND(L259&gt;=31,L259&lt;=54),"Middle Age",L259&lt;31,"Adolescent",L259&gt;54,"Old")</f>
        <v>Middle Age</v>
      </c>
      <c r="N259" t="s">
        <v>15</v>
      </c>
    </row>
    <row r="260" spans="1:14" x14ac:dyDescent="0.3">
      <c r="A260">
        <v>14193</v>
      </c>
      <c r="B260" t="s">
        <v>37</v>
      </c>
      <c r="C260" t="s">
        <v>38</v>
      </c>
      <c r="D260" s="3">
        <v>100000</v>
      </c>
      <c r="E260">
        <v>3</v>
      </c>
      <c r="F260" t="s">
        <v>19</v>
      </c>
      <c r="G260" t="s">
        <v>28</v>
      </c>
      <c r="H260" t="s">
        <v>15</v>
      </c>
      <c r="I260">
        <v>4</v>
      </c>
      <c r="J260" t="s">
        <v>46</v>
      </c>
      <c r="K260" t="s">
        <v>17</v>
      </c>
      <c r="L260">
        <v>56</v>
      </c>
      <c r="M260" t="str" cm="1">
        <f t="array" ref="M260">_xlfn.IFS(AND(L260&gt;=31,L260&lt;=54),"Middle Age",L260&lt;31,"Adolescent",L260&gt;54,"Old")</f>
        <v>Old</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cm="1">
        <f t="array" ref="M261">_xlfn.IFS(AND(L261&gt;=31,L261&lt;=54),"Middle Age",L261&lt;31,"Adolescent",L261&gt;54,"Old")</f>
        <v>Middle Age</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cm="1">
        <f t="array" ref="M262">_xlfn.IFS(AND(L262&gt;=31,L262&lt;=54),"Middle Age",L262&lt;31,"Adolescent",L262&gt;54,"Old")</f>
        <v>Middle Age</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cm="1">
        <f t="array" ref="M263">_xlfn.IFS(AND(L263&gt;=31,L263&lt;=54),"Middle Age",L263&lt;31,"Adolescent",L263&gt;54,"Old")</f>
        <v>Middle Age</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cm="1">
        <f t="array" ref="M264">_xlfn.IFS(AND(L264&gt;=31,L264&lt;=54),"Middle Age",L264&lt;31,"Adolescent",L264&gt;54,"Old")</f>
        <v>Middle Age</v>
      </c>
      <c r="N264" t="s">
        <v>18</v>
      </c>
    </row>
    <row r="265" spans="1:14" x14ac:dyDescent="0.3">
      <c r="A265">
        <v>23419</v>
      </c>
      <c r="B265" t="s">
        <v>37</v>
      </c>
      <c r="C265" t="s">
        <v>38</v>
      </c>
      <c r="D265" s="3">
        <v>70000</v>
      </c>
      <c r="E265">
        <v>5</v>
      </c>
      <c r="F265" t="s">
        <v>13</v>
      </c>
      <c r="G265" t="s">
        <v>21</v>
      </c>
      <c r="H265" t="s">
        <v>15</v>
      </c>
      <c r="I265">
        <v>3</v>
      </c>
      <c r="J265" t="s">
        <v>46</v>
      </c>
      <c r="K265" t="s">
        <v>24</v>
      </c>
      <c r="L265">
        <v>39</v>
      </c>
      <c r="M265" t="str" cm="1">
        <f t="array" ref="M265">_xlfn.IFS(AND(L265&gt;=31,L265&lt;=54),"Middle Age",L265&lt;31,"Adolescent",L265&gt;54,"Old")</f>
        <v>Middle Age</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cm="1">
        <f t="array" ref="M266">_xlfn.IFS(AND(L266&gt;=31,L266&lt;=54),"Middle Age",L266&lt;31,"Adolescent",L266&gt;54,"Old")</f>
        <v>Middle Age</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cm="1">
        <f t="array" ref="M267">_xlfn.IFS(AND(L267&gt;=31,L267&lt;=54),"Middle Age",L267&lt;31,"Adolescent",L267&gt;54,"Old")</f>
        <v>Middle Age</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cm="1">
        <f t="array" ref="M268">_xlfn.IFS(AND(L268&gt;=31,L268&lt;=54),"Middle Age",L268&lt;31,"Adolescent",L268&gt;54,"Old")</f>
        <v>Adolescent</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cm="1">
        <f t="array" ref="M269">_xlfn.IFS(AND(L269&gt;=31,L269&lt;=54),"Middle Age",L269&lt;31,"Adolescent",L269&gt;54,"Old")</f>
        <v>Middle Age</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cm="1">
        <f t="array" ref="M270">_xlfn.IFS(AND(L270&gt;=31,L270&lt;=54),"Middle Age",L270&lt;31,"Adolescent",L270&gt;54,"Old")</f>
        <v>Middle Age</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cm="1">
        <f t="array" ref="M271">_xlfn.IFS(AND(L271&gt;=31,L271&lt;=54),"Middle Age",L271&lt;31,"Adolescent",L271&gt;54,"Old")</f>
        <v>Middle Age</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cm="1">
        <f t="array" ref="M272">_xlfn.IFS(AND(L272&gt;=31,L272&lt;=54),"Middle Age",L272&lt;31,"Adolescent",L272&gt;54,"Old")</f>
        <v>Middle Age</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cm="1">
        <f t="array" ref="M273">_xlfn.IFS(AND(L273&gt;=31,L273&lt;=54),"Middle Age",L273&lt;31,"Adolescent",L273&gt;54,"Old")</f>
        <v>Adolescent</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cm="1">
        <f t="array" ref="M274">_xlfn.IFS(AND(L274&gt;=31,L274&lt;=54),"Middle Age",L274&lt;31,"Adolescent",L274&gt;54,"Old")</f>
        <v>Middle Age</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cm="1">
        <f t="array" ref="M275">_xlfn.IFS(AND(L275&gt;=31,L275&lt;=54),"Middle Age",L275&lt;31,"Adolescent",L275&gt;54,"Old")</f>
        <v>Adolescent</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cm="1">
        <f t="array" ref="M276">_xlfn.IFS(AND(L276&gt;=31,L276&lt;=54),"Middle Age",L276&lt;31,"Adolescent",L276&gt;54,"Old")</f>
        <v>Middle Age</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cm="1">
        <f t="array" ref="M277">_xlfn.IFS(AND(L277&gt;=31,L277&lt;=54),"Middle Age",L277&lt;31,"Adolescent",L277&gt;54,"Old")</f>
        <v>Middle Age</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cm="1">
        <f t="array" ref="M278">_xlfn.IFS(AND(L278&gt;=31,L278&lt;=54),"Middle Age",L278&lt;31,"Adolescent",L278&gt;54,"Old")</f>
        <v>Middle Age</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cm="1">
        <f t="array" ref="M279">_xlfn.IFS(AND(L279&gt;=31,L279&lt;=54),"Middle Age",L279&lt;31,"Adolescent",L279&gt;54,"Old")</f>
        <v>Middle Age</v>
      </c>
      <c r="N279" t="s">
        <v>15</v>
      </c>
    </row>
    <row r="280" spans="1:14" x14ac:dyDescent="0.3">
      <c r="A280">
        <v>20625</v>
      </c>
      <c r="B280" t="s">
        <v>36</v>
      </c>
      <c r="C280" t="s">
        <v>39</v>
      </c>
      <c r="D280" s="3">
        <v>100000</v>
      </c>
      <c r="E280">
        <v>0</v>
      </c>
      <c r="F280" t="s">
        <v>27</v>
      </c>
      <c r="G280" t="s">
        <v>28</v>
      </c>
      <c r="H280" t="s">
        <v>15</v>
      </c>
      <c r="I280">
        <v>3</v>
      </c>
      <c r="J280" t="s">
        <v>46</v>
      </c>
      <c r="K280" t="s">
        <v>24</v>
      </c>
      <c r="L280">
        <v>35</v>
      </c>
      <c r="M280" t="str" cm="1">
        <f t="array" ref="M280">_xlfn.IFS(AND(L280&gt;=31,L280&lt;=54),"Middle Age",L280&lt;31,"Adolescent",L280&gt;54,"Old")</f>
        <v>Middle Age</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cm="1">
        <f t="array" ref="M281">_xlfn.IFS(AND(L281&gt;=31,L281&lt;=54),"Middle Age",L281&lt;31,"Adolescent",L281&gt;54,"Old")</f>
        <v>Middle Age</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cm="1">
        <f t="array" ref="M282">_xlfn.IFS(AND(L282&gt;=31,L282&lt;=54),"Middle Age",L282&lt;31,"Adolescent",L282&gt;54,"Old")</f>
        <v>Middle Age</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cm="1">
        <f t="array" ref="M283">_xlfn.IFS(AND(L283&gt;=31,L283&lt;=54),"Middle Age",L283&lt;31,"Adolescent",L283&gt;54,"Old")</f>
        <v>Middle Age</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cm="1">
        <f t="array" ref="M284">_xlfn.IFS(AND(L284&gt;=31,L284&lt;=54),"Middle Age",L284&lt;31,"Adolescent",L284&gt;54,"Old")</f>
        <v>Middle Age</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cm="1">
        <f t="array" ref="M285">_xlfn.IFS(AND(L285&gt;=31,L285&lt;=54),"Middle Age",L285&lt;31,"Adolescent",L285&gt;54,"Old")</f>
        <v>Middle Age</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cm="1">
        <f t="array" ref="M286">_xlfn.IFS(AND(L286&gt;=31,L286&lt;=54),"Middle Age",L286&lt;31,"Adolescent",L286&gt;54,"Old")</f>
        <v>Middle Age</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cm="1">
        <f t="array" ref="M287">_xlfn.IFS(AND(L287&gt;=31,L287&lt;=54),"Middle Age",L287&lt;31,"Adolescent",L287&gt;54,"Old")</f>
        <v>Middle Age</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cm="1">
        <f t="array" ref="M288">_xlfn.IFS(AND(L288&gt;=31,L288&lt;=54),"Middle Age",L288&lt;31,"Adolescent",L288&gt;54,"Old")</f>
        <v>Middle Age</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cm="1">
        <f t="array" ref="M289">_xlfn.IFS(AND(L289&gt;=31,L289&lt;=54),"Middle Age",L289&lt;31,"Adolescent",L289&gt;54,"Old")</f>
        <v>Middle Age</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cm="1">
        <f t="array" ref="M290">_xlfn.IFS(AND(L290&gt;=31,L290&lt;=54),"Middle Age",L290&lt;31,"Adolescent",L290&gt;54,"Old")</f>
        <v>Middle Age</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cm="1">
        <f t="array" ref="M291">_xlfn.IFS(AND(L291&gt;=31,L291&lt;=54),"Middle Age",L291&lt;31,"Adolescent",L291&gt;54,"Old")</f>
        <v>Middle Age</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cm="1">
        <f t="array" ref="M292">_xlfn.IFS(AND(L292&gt;=31,L292&lt;=54),"Middle Age",L292&lt;31,"Adolescent",L292&gt;54,"Old")</f>
        <v>Middle Age</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cm="1">
        <f t="array" ref="M293">_xlfn.IFS(AND(L293&gt;=31,L293&lt;=54),"Middle Age",L293&lt;31,"Adolescent",L293&gt;54,"Old")</f>
        <v>Middle Age</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cm="1">
        <f t="array" ref="M294">_xlfn.IFS(AND(L294&gt;=31,L294&lt;=54),"Middle Age",L294&lt;31,"Adolescent",L294&gt;54,"Old")</f>
        <v>Middle Age</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cm="1">
        <f t="array" ref="M295">_xlfn.IFS(AND(L295&gt;=31,L295&lt;=54),"Middle Age",L295&lt;31,"Adolescent",L295&gt;54,"Old")</f>
        <v>Middle Age</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cm="1">
        <f t="array" ref="M296">_xlfn.IFS(AND(L296&gt;=31,L296&lt;=54),"Middle Age",L296&lt;31,"Adolescent",L296&gt;54,"Old")</f>
        <v>Middle Age</v>
      </c>
      <c r="N296" t="s">
        <v>15</v>
      </c>
    </row>
    <row r="297" spans="1:14" x14ac:dyDescent="0.3">
      <c r="A297">
        <v>21557</v>
      </c>
      <c r="B297" t="s">
        <v>37</v>
      </c>
      <c r="C297" t="s">
        <v>38</v>
      </c>
      <c r="D297" s="3">
        <v>110000</v>
      </c>
      <c r="E297">
        <v>0</v>
      </c>
      <c r="F297" t="s">
        <v>19</v>
      </c>
      <c r="G297" t="s">
        <v>28</v>
      </c>
      <c r="H297" t="s">
        <v>15</v>
      </c>
      <c r="I297">
        <v>3</v>
      </c>
      <c r="J297" t="s">
        <v>46</v>
      </c>
      <c r="K297" t="s">
        <v>24</v>
      </c>
      <c r="L297">
        <v>32</v>
      </c>
      <c r="M297" t="str" cm="1">
        <f t="array" ref="M297">_xlfn.IFS(AND(L297&gt;=31,L297&lt;=54),"Middle Age",L297&lt;31,"Adolescent",L297&gt;54,"Old")</f>
        <v>Middle Age</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cm="1">
        <f t="array" ref="M298">_xlfn.IFS(AND(L298&gt;=31,L298&lt;=54),"Middle Age",L298&lt;31,"Adolescent",L298&gt;54,"Old")</f>
        <v>Middle Age</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cm="1">
        <f t="array" ref="M299">_xlfn.IFS(AND(L299&gt;=31,L299&lt;=54),"Middle Age",L299&lt;31,"Adolescent",L299&gt;54,"Old")</f>
        <v>Middle Age</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cm="1">
        <f t="array" ref="M300">_xlfn.IFS(AND(L300&gt;=31,L300&lt;=54),"Middle Age",L300&lt;31,"Adolescent",L300&gt;54,"Old")</f>
        <v>Middle Age</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cm="1">
        <f t="array" ref="M301">_xlfn.IFS(AND(L301&gt;=31,L301&lt;=54),"Middle Age",L301&lt;31,"Adolescent",L301&gt;54,"Old")</f>
        <v>Old</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cm="1">
        <f t="array" ref="M302">_xlfn.IFS(AND(L302&gt;=31,L302&lt;=54),"Middle Age",L302&lt;31,"Adolescent",L302&gt;54,"Old")</f>
        <v>Old</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cm="1">
        <f t="array" ref="M303">_xlfn.IFS(AND(L303&gt;=31,L303&lt;=54),"Middle Age",L303&lt;31,"Adolescent",L303&gt;54,"Old")</f>
        <v>Adolescent</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cm="1">
        <f t="array" ref="M304">_xlfn.IFS(AND(L304&gt;=31,L304&lt;=54),"Middle Age",L304&lt;31,"Adolescent",L304&gt;54,"Old")</f>
        <v>Old</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cm="1">
        <f t="array" ref="M305">_xlfn.IFS(AND(L305&gt;=31,L305&lt;=54),"Middle Age",L305&lt;31,"Adolescent",L305&gt;54,"Old")</f>
        <v>Middle Age</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cm="1">
        <f t="array" ref="M306">_xlfn.IFS(AND(L306&gt;=31,L306&lt;=54),"Middle Age",L306&lt;31,"Adolescent",L306&gt;54,"Old")</f>
        <v>Middle Age</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cm="1">
        <f t="array" ref="M307">_xlfn.IFS(AND(L307&gt;=31,L307&lt;=54),"Middle Age",L307&lt;31,"Adolescent",L307&gt;54,"Old")</f>
        <v>Old</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cm="1">
        <f t="array" ref="M308">_xlfn.IFS(AND(L308&gt;=31,L308&lt;=54),"Middle Age",L308&lt;31,"Adolescent",L308&gt;54,"Old")</f>
        <v>Middle Age</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cm="1">
        <f t="array" ref="M309">_xlfn.IFS(AND(L309&gt;=31,L309&lt;=54),"Middle Age",L309&lt;31,"Adolescent",L309&gt;54,"Old")</f>
        <v>Old</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cm="1">
        <f t="array" ref="M310">_xlfn.IFS(AND(L310&gt;=31,L310&lt;=54),"Middle Age",L310&lt;31,"Adolescent",L310&gt;54,"Old")</f>
        <v>Middle Age</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cm="1">
        <f t="array" ref="M311">_xlfn.IFS(AND(L311&gt;=31,L311&lt;=54),"Middle Age",L311&lt;31,"Adolescent",L311&gt;54,"Old")</f>
        <v>Middle Age</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cm="1">
        <f t="array" ref="M312">_xlfn.IFS(AND(L312&gt;=31,L312&lt;=54),"Middle Age",L312&lt;31,"Adolescent",L312&gt;54,"Old")</f>
        <v>Middle Age</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cm="1">
        <f t="array" ref="M313">_xlfn.IFS(AND(L313&gt;=31,L313&lt;=54),"Middle Age",L313&lt;31,"Adolescent",L313&gt;54,"Old")</f>
        <v>Middle Age</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cm="1">
        <f t="array" ref="M314">_xlfn.IFS(AND(L314&gt;=31,L314&lt;=54),"Middle Age",L314&lt;31,"Adolescent",L314&gt;54,"Old")</f>
        <v>Old</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cm="1">
        <f t="array" ref="M315">_xlfn.IFS(AND(L315&gt;=31,L315&lt;=54),"Middle Age",L315&lt;31,"Adolescent",L315&gt;54,"Old")</f>
        <v>Middle Age</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cm="1">
        <f t="array" ref="M316">_xlfn.IFS(AND(L316&gt;=31,L316&lt;=54),"Middle Age",L316&lt;31,"Adolescent",L316&gt;54,"Old")</f>
        <v>Middle Age</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cm="1">
        <f t="array" ref="M317">_xlfn.IFS(AND(L317&gt;=31,L317&lt;=54),"Middle Age",L317&lt;31,"Adolescent",L317&gt;54,"Old")</f>
        <v>Middle Age</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cm="1">
        <f t="array" ref="M318">_xlfn.IFS(AND(L318&gt;=31,L318&lt;=54),"Middle Age",L318&lt;31,"Adolescent",L318&gt;54,"Old")</f>
        <v>Old</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cm="1">
        <f t="array" ref="M319">_xlfn.IFS(AND(L319&gt;=31,L319&lt;=54),"Middle Age",L319&lt;31,"Adolescent",L319&gt;54,"Old")</f>
        <v>Middle Age</v>
      </c>
      <c r="N319" t="s">
        <v>15</v>
      </c>
    </row>
    <row r="320" spans="1:14" x14ac:dyDescent="0.3">
      <c r="A320">
        <v>19066</v>
      </c>
      <c r="B320" t="s">
        <v>36</v>
      </c>
      <c r="C320" t="s">
        <v>39</v>
      </c>
      <c r="D320" s="3">
        <v>130000</v>
      </c>
      <c r="E320">
        <v>4</v>
      </c>
      <c r="F320" t="s">
        <v>19</v>
      </c>
      <c r="G320" t="s">
        <v>21</v>
      </c>
      <c r="H320" t="s">
        <v>18</v>
      </c>
      <c r="I320">
        <v>3</v>
      </c>
      <c r="J320" t="s">
        <v>46</v>
      </c>
      <c r="K320" t="s">
        <v>17</v>
      </c>
      <c r="L320">
        <v>54</v>
      </c>
      <c r="M320" t="str" cm="1">
        <f t="array" ref="M320">_xlfn.IFS(AND(L320&gt;=31,L320&lt;=54),"Middle Age",L320&lt;31,"Adolescent",L320&gt;54,"Old")</f>
        <v>Middle Age</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cm="1">
        <f t="array" ref="M321">_xlfn.IFS(AND(L321&gt;=31,L321&lt;=54),"Middle Age",L321&lt;31,"Adolescent",L321&gt;54,"Old")</f>
        <v>Middle Age</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cm="1">
        <f t="array" ref="M322">_xlfn.IFS(AND(L322&gt;=31,L322&lt;=54),"Middle Age",L322&lt;31,"Adolescent",L322&gt;54,"Old")</f>
        <v>Middle Age</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cm="1">
        <f t="array" ref="M323">_xlfn.IFS(AND(L323&gt;=31,L323&lt;=54),"Middle Age",L323&lt;31,"Adolescent",L323&gt;54,"Old")</f>
        <v>Middle Age</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cm="1">
        <f t="array" ref="M324">_xlfn.IFS(AND(L324&gt;=31,L324&lt;=54),"Middle Age",L324&lt;31,"Adolescent",L324&gt;54,"Old")</f>
        <v>Middle Age</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cm="1">
        <f t="array" ref="M325">_xlfn.IFS(AND(L325&gt;=31,L325&lt;=54),"Middle Age",L325&lt;31,"Adolescent",L325&gt;54,"Old")</f>
        <v>Middle Age</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cm="1">
        <f t="array" ref="M326">_xlfn.IFS(AND(L326&gt;=31,L326&lt;=54),"Middle Age",L326&lt;31,"Adolescent",L326&gt;54,"Old")</f>
        <v>Middle Age</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cm="1">
        <f t="array" ref="M327">_xlfn.IFS(AND(L327&gt;=31,L327&lt;=54),"Middle Age",L327&lt;31,"Adolescent",L327&gt;54,"Old")</f>
        <v>Middle Age</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cm="1">
        <f t="array" ref="M328">_xlfn.IFS(AND(L328&gt;=31,L328&lt;=54),"Middle Age",L328&lt;31,"Adolescent",L328&gt;54,"Old")</f>
        <v>Adolescent</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cm="1">
        <f t="array" ref="M329">_xlfn.IFS(AND(L329&gt;=31,L329&lt;=54),"Middle Age",L329&lt;31,"Adolescent",L329&gt;54,"Old")</f>
        <v>Middle Age</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cm="1">
        <f t="array" ref="M330">_xlfn.IFS(AND(L330&gt;=31,L330&lt;=54),"Middle Age",L330&lt;31,"Adolescent",L330&gt;54,"Old")</f>
        <v>Middle Age</v>
      </c>
      <c r="N330" t="s">
        <v>18</v>
      </c>
    </row>
    <row r="331" spans="1:14" x14ac:dyDescent="0.3">
      <c r="A331">
        <v>12663</v>
      </c>
      <c r="B331" t="s">
        <v>36</v>
      </c>
      <c r="C331" t="s">
        <v>38</v>
      </c>
      <c r="D331" s="3">
        <v>90000</v>
      </c>
      <c r="E331">
        <v>5</v>
      </c>
      <c r="F331" t="s">
        <v>29</v>
      </c>
      <c r="G331" t="s">
        <v>14</v>
      </c>
      <c r="H331" t="s">
        <v>15</v>
      </c>
      <c r="I331">
        <v>2</v>
      </c>
      <c r="J331" t="s">
        <v>46</v>
      </c>
      <c r="K331" t="s">
        <v>17</v>
      </c>
      <c r="L331">
        <v>59</v>
      </c>
      <c r="M331" t="str" cm="1">
        <f t="array" ref="M331">_xlfn.IFS(AND(L331&gt;=31,L331&lt;=54),"Middle Age",L331&lt;31,"Adolescent",L331&gt;54,"Old")</f>
        <v>Old</v>
      </c>
      <c r="N331" t="s">
        <v>18</v>
      </c>
    </row>
    <row r="332" spans="1:14" x14ac:dyDescent="0.3">
      <c r="A332">
        <v>24898</v>
      </c>
      <c r="B332" t="s">
        <v>37</v>
      </c>
      <c r="C332" t="s">
        <v>38</v>
      </c>
      <c r="D332" s="3">
        <v>80000</v>
      </c>
      <c r="E332">
        <v>0</v>
      </c>
      <c r="F332" t="s">
        <v>13</v>
      </c>
      <c r="G332" t="s">
        <v>21</v>
      </c>
      <c r="H332" t="s">
        <v>15</v>
      </c>
      <c r="I332">
        <v>3</v>
      </c>
      <c r="J332" t="s">
        <v>46</v>
      </c>
      <c r="K332" t="s">
        <v>24</v>
      </c>
      <c r="L332">
        <v>32</v>
      </c>
      <c r="M332" t="str" cm="1">
        <f t="array" ref="M332">_xlfn.IFS(AND(L332&gt;=31,L332&lt;=54),"Middle Age",L332&lt;31,"Adolescent",L332&gt;54,"Old")</f>
        <v>Middle Age</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cm="1">
        <f t="array" ref="M333">_xlfn.IFS(AND(L333&gt;=31,L333&lt;=54),"Middle Age",L333&lt;31,"Adolescent",L333&gt;54,"Old")</f>
        <v>Adolescent</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cm="1">
        <f t="array" ref="M334">_xlfn.IFS(AND(L334&gt;=31,L334&lt;=54),"Middle Age",L334&lt;31,"Adolescent",L334&gt;54,"Old")</f>
        <v>Middle Age</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cm="1">
        <f t="array" ref="M335">_xlfn.IFS(AND(L335&gt;=31,L335&lt;=54),"Middle Age",L335&lt;31,"Adolescent",L335&gt;54,"Old")</f>
        <v>Middle Age</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cm="1">
        <f t="array" ref="M336">_xlfn.IFS(AND(L336&gt;=31,L336&lt;=54),"Middle Age",L336&lt;31,"Adolescent",L336&gt;54,"Old")</f>
        <v>Middle Age</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cm="1">
        <f t="array" ref="M337">_xlfn.IFS(AND(L337&gt;=31,L337&lt;=54),"Middle Age",L337&lt;31,"Adolescent",L337&gt;54,"Old")</f>
        <v>Middle Age</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cm="1">
        <f t="array" ref="M338">_xlfn.IFS(AND(L338&gt;=31,L338&lt;=54),"Middle Age",L338&lt;31,"Adolescent",L338&gt;54,"Old")</f>
        <v>Middle Age</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cm="1">
        <f t="array" ref="M339">_xlfn.IFS(AND(L339&gt;=31,L339&lt;=54),"Middle Age",L339&lt;31,"Adolescent",L339&gt;54,"Old")</f>
        <v>Middle Age</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cm="1">
        <f t="array" ref="M340">_xlfn.IFS(AND(L340&gt;=31,L340&lt;=54),"Middle Age",L340&lt;31,"Adolescent",L340&gt;54,"Old")</f>
        <v>Middle Age</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cm="1">
        <f t="array" ref="M341">_xlfn.IFS(AND(L341&gt;=31,L341&lt;=54),"Middle Age",L341&lt;31,"Adolescent",L341&gt;54,"Old")</f>
        <v>Old</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cm="1">
        <f t="array" ref="M342">_xlfn.IFS(AND(L342&gt;=31,L342&lt;=54),"Middle Age",L342&lt;31,"Adolescent",L342&gt;54,"Old")</f>
        <v>Adolescent</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cm="1">
        <f t="array" ref="M343">_xlfn.IFS(AND(L343&gt;=31,L343&lt;=54),"Middle Age",L343&lt;31,"Adolescent",L343&gt;54,"Old")</f>
        <v>Middle Age</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cm="1">
        <f t="array" ref="M344">_xlfn.IFS(AND(L344&gt;=31,L344&lt;=54),"Middle Age",L344&lt;31,"Adolescent",L344&gt;54,"Old")</f>
        <v>Middle Age</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cm="1">
        <f t="array" ref="M345">_xlfn.IFS(AND(L345&gt;=31,L345&lt;=54),"Middle Age",L345&lt;31,"Adolescent",L345&gt;54,"Old")</f>
        <v>Middle Age</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cm="1">
        <f t="array" ref="M346">_xlfn.IFS(AND(L346&gt;=31,L346&lt;=54),"Middle Age",L346&lt;31,"Adolescent",L346&gt;54,"Old")</f>
        <v>Middle Age</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cm="1">
        <f t="array" ref="M347">_xlfn.IFS(AND(L347&gt;=31,L347&lt;=54),"Middle Age",L347&lt;31,"Adolescent",L347&gt;54,"Old")</f>
        <v>Middle Age</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cm="1">
        <f t="array" ref="M348">_xlfn.IFS(AND(L348&gt;=31,L348&lt;=54),"Middle Age",L348&lt;31,"Adolescent",L348&gt;54,"Old")</f>
        <v>Middle Age</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cm="1">
        <f t="array" ref="M349">_xlfn.IFS(AND(L349&gt;=31,L349&lt;=54),"Middle Age",L349&lt;31,"Adolescent",L349&gt;54,"Old")</f>
        <v>Middle Age</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cm="1">
        <f t="array" ref="M350">_xlfn.IFS(AND(L350&gt;=31,L350&lt;=54),"Middle Age",L350&lt;31,"Adolescent",L350&gt;54,"Old")</f>
        <v>Middle Age</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cm="1">
        <f t="array" ref="M351">_xlfn.IFS(AND(L351&gt;=31,L351&lt;=54),"Middle Age",L351&lt;31,"Adolescent",L351&gt;54,"Old")</f>
        <v>Adolescent</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cm="1">
        <f t="array" ref="M352">_xlfn.IFS(AND(L352&gt;=31,L352&lt;=54),"Middle Age",L352&lt;31,"Adolescent",L352&gt;54,"Old")</f>
        <v>Adolescent</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cm="1">
        <f t="array" ref="M353">_xlfn.IFS(AND(L353&gt;=31,L353&lt;=54),"Middle Age",L353&lt;31,"Adolescent",L353&gt;54,"Old")</f>
        <v>Middle Age</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cm="1">
        <f t="array" ref="M354">_xlfn.IFS(AND(L354&gt;=31,L354&lt;=54),"Middle Age",L354&lt;31,"Adolescent",L354&gt;54,"Old")</f>
        <v>Middle Age</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cm="1">
        <f t="array" ref="M355">_xlfn.IFS(AND(L355&gt;=31,L355&lt;=54),"Middle Age",L355&lt;31,"Adolescent",L355&gt;54,"Old")</f>
        <v>Middle Age</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cm="1">
        <f t="array" ref="M356">_xlfn.IFS(AND(L356&gt;=31,L356&lt;=54),"Middle Age",L356&lt;31,"Adolescent",L356&gt;54,"Old")</f>
        <v>Middle Age</v>
      </c>
      <c r="N356" t="s">
        <v>18</v>
      </c>
    </row>
    <row r="357" spans="1:14" x14ac:dyDescent="0.3">
      <c r="A357">
        <v>17238</v>
      </c>
      <c r="B357" t="s">
        <v>37</v>
      </c>
      <c r="C357" t="s">
        <v>39</v>
      </c>
      <c r="D357" s="3">
        <v>80000</v>
      </c>
      <c r="E357">
        <v>0</v>
      </c>
      <c r="F357" t="s">
        <v>13</v>
      </c>
      <c r="G357" t="s">
        <v>21</v>
      </c>
      <c r="H357" t="s">
        <v>15</v>
      </c>
      <c r="I357">
        <v>3</v>
      </c>
      <c r="J357" t="s">
        <v>46</v>
      </c>
      <c r="K357" t="s">
        <v>24</v>
      </c>
      <c r="L357">
        <v>32</v>
      </c>
      <c r="M357" t="str" cm="1">
        <f t="array" ref="M357">_xlfn.IFS(AND(L357&gt;=31,L357&lt;=54),"Middle Age",L357&lt;31,"Adolescent",L357&gt;54,"Old")</f>
        <v>Middle Age</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cm="1">
        <f t="array" ref="M358">_xlfn.IFS(AND(L358&gt;=31,L358&lt;=54),"Middle Age",L358&lt;31,"Adolescent",L358&gt;54,"Old")</f>
        <v>Middle Age</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cm="1">
        <f t="array" ref="M359">_xlfn.IFS(AND(L359&gt;=31,L359&lt;=54),"Middle Age",L359&lt;31,"Adolescent",L359&gt;54,"Old")</f>
        <v>Middle Age</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cm="1">
        <f t="array" ref="M360">_xlfn.IFS(AND(L360&gt;=31,L360&lt;=54),"Middle Age",L360&lt;31,"Adolescent",L360&gt;54,"Old")</f>
        <v>Old</v>
      </c>
      <c r="N360" t="s">
        <v>15</v>
      </c>
    </row>
    <row r="361" spans="1:14" x14ac:dyDescent="0.3">
      <c r="A361">
        <v>17230</v>
      </c>
      <c r="B361" t="s">
        <v>36</v>
      </c>
      <c r="C361" t="s">
        <v>39</v>
      </c>
      <c r="D361" s="3">
        <v>80000</v>
      </c>
      <c r="E361">
        <v>0</v>
      </c>
      <c r="F361" t="s">
        <v>13</v>
      </c>
      <c r="G361" t="s">
        <v>21</v>
      </c>
      <c r="H361" t="s">
        <v>15</v>
      </c>
      <c r="I361">
        <v>3</v>
      </c>
      <c r="J361" t="s">
        <v>46</v>
      </c>
      <c r="K361" t="s">
        <v>24</v>
      </c>
      <c r="L361">
        <v>30</v>
      </c>
      <c r="M361" t="str" cm="1">
        <f t="array" ref="M361">_xlfn.IFS(AND(L361&gt;=31,L361&lt;=54),"Middle Age",L361&lt;31,"Adolescent",L361&gt;54,"Old")</f>
        <v>Adolescent</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cm="1">
        <f t="array" ref="M362">_xlfn.IFS(AND(L362&gt;=31,L362&lt;=54),"Middle Age",L362&lt;31,"Adolescent",L362&gt;54,"Old")</f>
        <v>Middle Age</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cm="1">
        <f t="array" ref="M363">_xlfn.IFS(AND(L363&gt;=31,L363&lt;=54),"Middle Age",L363&lt;31,"Adolescent",L363&gt;54,"Old")</f>
        <v>Adolescent</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cm="1">
        <f t="array" ref="M364">_xlfn.IFS(AND(L364&gt;=31,L364&lt;=54),"Middle Age",L364&lt;31,"Adolescent",L364&gt;54,"Old")</f>
        <v>Middle Age</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cm="1">
        <f t="array" ref="M365">_xlfn.IFS(AND(L365&gt;=31,L365&lt;=54),"Middle Age",L365&lt;31,"Adolescent",L365&gt;54,"Old")</f>
        <v>Old</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cm="1">
        <f t="array" ref="M366">_xlfn.IFS(AND(L366&gt;=31,L366&lt;=54),"Middle Age",L366&lt;31,"Adolescent",L366&gt;54,"Old")</f>
        <v>Middle Age</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cm="1">
        <f t="array" ref="M367">_xlfn.IFS(AND(L367&gt;=31,L367&lt;=54),"Middle Age",L367&lt;31,"Adolescent",L367&gt;54,"Old")</f>
        <v>Middle Age</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cm="1">
        <f t="array" ref="M368">_xlfn.IFS(AND(L368&gt;=31,L368&lt;=54),"Middle Age",L368&lt;31,"Adolescent",L368&gt;54,"Old")</f>
        <v>Middle Age</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cm="1">
        <f t="array" ref="M369">_xlfn.IFS(AND(L369&gt;=31,L369&lt;=54),"Middle Age",L369&lt;31,"Adolescent",L369&gt;54,"Old")</f>
        <v>Middle Age</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cm="1">
        <f t="array" ref="M370">_xlfn.IFS(AND(L370&gt;=31,L370&lt;=54),"Middle Age",L370&lt;31,"Adolescent",L370&gt;54,"Old")</f>
        <v>Old</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cm="1">
        <f t="array" ref="M371">_xlfn.IFS(AND(L371&gt;=31,L371&lt;=54),"Middle Age",L371&lt;31,"Adolescent",L371&gt;54,"Old")</f>
        <v>Middle Age</v>
      </c>
      <c r="N371" t="s">
        <v>15</v>
      </c>
    </row>
    <row r="372" spans="1:14" x14ac:dyDescent="0.3">
      <c r="A372">
        <v>17324</v>
      </c>
      <c r="B372" t="s">
        <v>36</v>
      </c>
      <c r="C372" t="s">
        <v>38</v>
      </c>
      <c r="D372" s="3">
        <v>100000</v>
      </c>
      <c r="E372">
        <v>4</v>
      </c>
      <c r="F372" t="s">
        <v>13</v>
      </c>
      <c r="G372" t="s">
        <v>21</v>
      </c>
      <c r="H372" t="s">
        <v>15</v>
      </c>
      <c r="I372">
        <v>1</v>
      </c>
      <c r="J372" t="s">
        <v>46</v>
      </c>
      <c r="K372" t="s">
        <v>24</v>
      </c>
      <c r="L372">
        <v>46</v>
      </c>
      <c r="M372" t="str" cm="1">
        <f t="array" ref="M372">_xlfn.IFS(AND(L372&gt;=31,L372&lt;=54),"Middle Age",L372&lt;31,"Adolescent",L372&gt;54,"Old")</f>
        <v>Middle Age</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cm="1">
        <f t="array" ref="M373">_xlfn.IFS(AND(L373&gt;=31,L373&lt;=54),"Middle Age",L373&lt;31,"Adolescent",L373&gt;54,"Old")</f>
        <v>Middle Age</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cm="1">
        <f t="array" ref="M374">_xlfn.IFS(AND(L374&gt;=31,L374&lt;=54),"Middle Age",L374&lt;31,"Adolescent",L374&gt;54,"Old")</f>
        <v>Middle Age</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cm="1">
        <f t="array" ref="M375">_xlfn.IFS(AND(L375&gt;=31,L375&lt;=54),"Middle Age",L375&lt;31,"Adolescent",L375&gt;54,"Old")</f>
        <v>Adolescent</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cm="1">
        <f t="array" ref="M376">_xlfn.IFS(AND(L376&gt;=31,L376&lt;=54),"Middle Age",L376&lt;31,"Adolescent",L376&gt;54,"Old")</f>
        <v>Middle Age</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cm="1">
        <f t="array" ref="M377">_xlfn.IFS(AND(L377&gt;=31,L377&lt;=54),"Middle Age",L377&lt;31,"Adolescent",L377&gt;54,"Old")</f>
        <v>Old</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cm="1">
        <f t="array" ref="M378">_xlfn.IFS(AND(L378&gt;=31,L378&lt;=54),"Middle Age",L378&lt;31,"Adolescent",L378&gt;54,"Old")</f>
        <v>Old</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cm="1">
        <f t="array" ref="M379">_xlfn.IFS(AND(L379&gt;=31,L379&lt;=54),"Middle Age",L379&lt;31,"Adolescent",L379&gt;54,"Old")</f>
        <v>Middle Age</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cm="1">
        <f t="array" ref="M380">_xlfn.IFS(AND(L380&gt;=31,L380&lt;=54),"Middle Age",L380&lt;31,"Adolescent",L380&gt;54,"Old")</f>
        <v>Old</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cm="1">
        <f t="array" ref="M381">_xlfn.IFS(AND(L381&gt;=31,L381&lt;=54),"Middle Age",L381&lt;31,"Adolescent",L381&gt;54,"Old")</f>
        <v>Middle Age</v>
      </c>
      <c r="N381" t="s">
        <v>18</v>
      </c>
    </row>
    <row r="382" spans="1:14" x14ac:dyDescent="0.3">
      <c r="A382">
        <v>13620</v>
      </c>
      <c r="B382" t="s">
        <v>37</v>
      </c>
      <c r="C382" t="s">
        <v>39</v>
      </c>
      <c r="D382" s="3">
        <v>70000</v>
      </c>
      <c r="E382">
        <v>0</v>
      </c>
      <c r="F382" t="s">
        <v>13</v>
      </c>
      <c r="G382" t="s">
        <v>21</v>
      </c>
      <c r="H382" t="s">
        <v>18</v>
      </c>
      <c r="I382">
        <v>3</v>
      </c>
      <c r="J382" t="s">
        <v>46</v>
      </c>
      <c r="K382" t="s">
        <v>24</v>
      </c>
      <c r="L382">
        <v>30</v>
      </c>
      <c r="M382" t="str" cm="1">
        <f t="array" ref="M382">_xlfn.IFS(AND(L382&gt;=31,L382&lt;=54),"Middle Age",L382&lt;31,"Adolescent",L382&gt;54,"Old")</f>
        <v>Adolescent</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cm="1">
        <f t="array" ref="M383">_xlfn.IFS(AND(L383&gt;=31,L383&lt;=54),"Middle Age",L383&lt;31,"Adolescent",L383&gt;54,"Old")</f>
        <v>Old</v>
      </c>
      <c r="N383" t="s">
        <v>18</v>
      </c>
    </row>
    <row r="384" spans="1:14" x14ac:dyDescent="0.3">
      <c r="A384">
        <v>13586</v>
      </c>
      <c r="B384" t="s">
        <v>36</v>
      </c>
      <c r="C384" t="s">
        <v>39</v>
      </c>
      <c r="D384" s="3">
        <v>80000</v>
      </c>
      <c r="E384">
        <v>4</v>
      </c>
      <c r="F384" t="s">
        <v>19</v>
      </c>
      <c r="G384" t="s">
        <v>21</v>
      </c>
      <c r="H384" t="s">
        <v>15</v>
      </c>
      <c r="I384">
        <v>2</v>
      </c>
      <c r="J384" t="s">
        <v>46</v>
      </c>
      <c r="K384" t="s">
        <v>17</v>
      </c>
      <c r="L384">
        <v>53</v>
      </c>
      <c r="M384" t="str" cm="1">
        <f t="array" ref="M384">_xlfn.IFS(AND(L384&gt;=31,L384&lt;=54),"Middle Age",L384&lt;31,"Adolescent",L384&gt;54,"Old")</f>
        <v>Middle Age</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cm="1">
        <f t="array" ref="M385">_xlfn.IFS(AND(L385&gt;=31,L385&lt;=54),"Middle Age",L385&lt;31,"Adolescent",L385&gt;54,"Old")</f>
        <v>Middle Age</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cm="1">
        <f t="array" ref="M386">_xlfn.IFS(AND(L386&gt;=31,L386&lt;=54),"Middle Age",L386&lt;31,"Adolescent",L386&gt;54,"Old")</f>
        <v>Adolescent</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cm="1">
        <f t="array" ref="M387">_xlfn.IFS(AND(L387&gt;=31,L387&lt;=54),"Middle Age",L387&lt;31,"Adolescent",L387&gt;54,"Old")</f>
        <v>Middle Age</v>
      </c>
      <c r="N387" t="s">
        <v>18</v>
      </c>
    </row>
    <row r="388" spans="1:14" x14ac:dyDescent="0.3">
      <c r="A388">
        <v>28957</v>
      </c>
      <c r="B388" t="s">
        <v>37</v>
      </c>
      <c r="C388" t="s">
        <v>38</v>
      </c>
      <c r="D388" s="3">
        <v>120000</v>
      </c>
      <c r="E388">
        <v>0</v>
      </c>
      <c r="F388" t="s">
        <v>29</v>
      </c>
      <c r="G388" t="s">
        <v>21</v>
      </c>
      <c r="H388" t="s">
        <v>15</v>
      </c>
      <c r="I388">
        <v>4</v>
      </c>
      <c r="J388" t="s">
        <v>46</v>
      </c>
      <c r="K388" t="s">
        <v>24</v>
      </c>
      <c r="L388">
        <v>34</v>
      </c>
      <c r="M388" t="str" cm="1">
        <f t="array" ref="M388">_xlfn.IFS(AND(L388&gt;=31,L388&lt;=54),"Middle Age",L388&lt;31,"Adolescent",L388&gt;54,"Old")</f>
        <v>Middle Age</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cm="1">
        <f t="array" ref="M389">_xlfn.IFS(AND(L389&gt;=31,L389&lt;=54),"Middle Age",L389&lt;31,"Adolescent",L389&gt;54,"Old")</f>
        <v>Middle Age</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cm="1">
        <f t="array" ref="M390">_xlfn.IFS(AND(L390&gt;=31,L390&lt;=54),"Middle Age",L390&lt;31,"Adolescent",L390&gt;54,"Old")</f>
        <v>Old</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cm="1">
        <f t="array" ref="M391">_xlfn.IFS(AND(L391&gt;=31,L391&lt;=54),"Middle Age",L391&lt;31,"Adolescent",L391&gt;54,"Old")</f>
        <v>Middle Age</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cm="1">
        <f t="array" ref="M392">_xlfn.IFS(AND(L392&gt;=31,L392&lt;=54),"Middle Age",L392&lt;31,"Adolescent",L392&gt;54,"Old")</f>
        <v>Middle Age</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cm="1">
        <f t="array" ref="M393">_xlfn.IFS(AND(L393&gt;=31,L393&lt;=54),"Middle Age",L393&lt;31,"Adolescent",L393&gt;54,"Old")</f>
        <v>Middle Age</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cm="1">
        <f t="array" ref="M394">_xlfn.IFS(AND(L394&gt;=31,L394&lt;=54),"Middle Age",L394&lt;31,"Adolescent",L394&gt;54,"Old")</f>
        <v>Middle Age</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cm="1">
        <f t="array" ref="M395">_xlfn.IFS(AND(L395&gt;=31,L395&lt;=54),"Middle Age",L395&lt;31,"Adolescent",L395&gt;54,"Old")</f>
        <v>Middle Age</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cm="1">
        <f t="array" ref="M396">_xlfn.IFS(AND(L396&gt;=31,L396&lt;=54),"Middle Age",L396&lt;31,"Adolescent",L396&gt;54,"Old")</f>
        <v>Middle Age</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cm="1">
        <f t="array" ref="M397">_xlfn.IFS(AND(L397&gt;=31,L397&lt;=54),"Middle Age",L397&lt;31,"Adolescent",L397&gt;54,"Old")</f>
        <v>Middle Age</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cm="1">
        <f t="array" ref="M398">_xlfn.IFS(AND(L398&gt;=31,L398&lt;=54),"Middle Age",L398&lt;31,"Adolescent",L398&gt;54,"Old")</f>
        <v>Middle Age</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cm="1">
        <f t="array" ref="M399">_xlfn.IFS(AND(L399&gt;=31,L399&lt;=54),"Middle Age",L399&lt;31,"Adolescent",L399&gt;54,"Old")</f>
        <v>Old</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cm="1">
        <f t="array" ref="M400">_xlfn.IFS(AND(L400&gt;=31,L400&lt;=54),"Middle Age",L400&lt;31,"Adolescent",L400&gt;54,"Old")</f>
        <v>Middle Age</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cm="1">
        <f t="array" ref="M401">_xlfn.IFS(AND(L401&gt;=31,L401&lt;=54),"Middle Age",L401&lt;31,"Adolescent",L401&gt;54,"Old")</f>
        <v>Middle Age</v>
      </c>
      <c r="N401" t="s">
        <v>15</v>
      </c>
    </row>
    <row r="402" spans="1:14" x14ac:dyDescent="0.3">
      <c r="A402">
        <v>25792</v>
      </c>
      <c r="B402" t="s">
        <v>37</v>
      </c>
      <c r="C402" t="s">
        <v>38</v>
      </c>
      <c r="D402" s="3">
        <v>110000</v>
      </c>
      <c r="E402">
        <v>3</v>
      </c>
      <c r="F402" t="s">
        <v>13</v>
      </c>
      <c r="G402" t="s">
        <v>28</v>
      </c>
      <c r="H402" t="s">
        <v>15</v>
      </c>
      <c r="I402">
        <v>4</v>
      </c>
      <c r="J402" t="s">
        <v>46</v>
      </c>
      <c r="K402" t="s">
        <v>17</v>
      </c>
      <c r="L402">
        <v>53</v>
      </c>
      <c r="M402" t="str" cm="1">
        <f t="array" ref="M402">_xlfn.IFS(AND(L402&gt;=31,L402&lt;=54),"Middle Age",L402&lt;31,"Adolescent",L402&gt;54,"Old")</f>
        <v>Middle Age</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cm="1">
        <f t="array" ref="M403">_xlfn.IFS(AND(L403&gt;=31,L403&lt;=54),"Middle Age",L403&lt;31,"Adolescent",L403&gt;54,"Old")</f>
        <v>Old</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cm="1">
        <f t="array" ref="M404">_xlfn.IFS(AND(L404&gt;=31,L404&lt;=54),"Middle Age",L404&lt;31,"Adolescent",L404&gt;54,"Old")</f>
        <v>Middle Age</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cm="1">
        <f t="array" ref="M405">_xlfn.IFS(AND(L405&gt;=31,L405&lt;=54),"Middle Age",L405&lt;31,"Adolescent",L405&gt;54,"Old")</f>
        <v>Middle Age</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cm="1">
        <f t="array" ref="M406">_xlfn.IFS(AND(L406&gt;=31,L406&lt;=54),"Middle Age",L406&lt;31,"Adolescent",L406&gt;54,"Old")</f>
        <v>Middle Age</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cm="1">
        <f t="array" ref="M407">_xlfn.IFS(AND(L407&gt;=31,L407&lt;=54),"Middle Age",L407&lt;31,"Adolescent",L407&gt;54,"Old")</f>
        <v>Middle Age</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cm="1">
        <f t="array" ref="M408">_xlfn.IFS(AND(L408&gt;=31,L408&lt;=54),"Middle Age",L408&lt;31,"Adolescent",L408&gt;54,"Old")</f>
        <v>Middle Age</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cm="1">
        <f t="array" ref="M409">_xlfn.IFS(AND(L409&gt;=31,L409&lt;=54),"Middle Age",L409&lt;31,"Adolescent",L409&gt;54,"Old")</f>
        <v>Middle Age</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cm="1">
        <f t="array" ref="M410">_xlfn.IFS(AND(L410&gt;=31,L410&lt;=54),"Middle Age",L410&lt;31,"Adolescent",L410&gt;54,"Old")</f>
        <v>Middle Age</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cm="1">
        <f t="array" ref="M411">_xlfn.IFS(AND(L411&gt;=31,L411&lt;=54),"Middle Age",L411&lt;31,"Adolescent",L411&gt;54,"Old")</f>
        <v>Middle Age</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cm="1">
        <f t="array" ref="M412">_xlfn.IFS(AND(L412&gt;=31,L412&lt;=54),"Middle Age",L412&lt;31,"Adolescent",L412&gt;54,"Old")</f>
        <v>Middle Age</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cm="1">
        <f t="array" ref="M413">_xlfn.IFS(AND(L413&gt;=31,L413&lt;=54),"Middle Age",L413&lt;31,"Adolescent",L413&gt;54,"Old")</f>
        <v>Middle Age</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cm="1">
        <f t="array" ref="M414">_xlfn.IFS(AND(L414&gt;=31,L414&lt;=54),"Middle Age",L414&lt;31,"Adolescent",L414&gt;54,"Old")</f>
        <v>Middle Age</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cm="1">
        <f t="array" ref="M415">_xlfn.IFS(AND(L415&gt;=31,L415&lt;=54),"Middle Age",L415&lt;31,"Adolescent",L415&gt;54,"Old")</f>
        <v>Old</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cm="1">
        <f t="array" ref="M416">_xlfn.IFS(AND(L416&gt;=31,L416&lt;=54),"Middle Age",L416&lt;31,"Adolescent",L416&gt;54,"Old")</f>
        <v>Middle Age</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cm="1">
        <f t="array" ref="M417">_xlfn.IFS(AND(L417&gt;=31,L417&lt;=54),"Middle Age",L417&lt;31,"Adolescent",L417&gt;54,"Old")</f>
        <v>Middle Age</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cm="1">
        <f t="array" ref="M418">_xlfn.IFS(AND(L418&gt;=31,L418&lt;=54),"Middle Age",L418&lt;31,"Adolescent",L418&gt;54,"Old")</f>
        <v>Middle Age</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cm="1">
        <f t="array" ref="M419">_xlfn.IFS(AND(L419&gt;=31,L419&lt;=54),"Middle Age",L419&lt;31,"Adolescent",L419&gt;54,"Old")</f>
        <v>Old</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cm="1">
        <f t="array" ref="M420">_xlfn.IFS(AND(L420&gt;=31,L420&lt;=54),"Middle Age",L420&lt;31,"Adolescent",L420&gt;54,"Old")</f>
        <v>Middle Age</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cm="1">
        <f t="array" ref="M421">_xlfn.IFS(AND(L421&gt;=31,L421&lt;=54),"Middle Age",L421&lt;31,"Adolescent",L421&gt;54,"Old")</f>
        <v>Middle Age</v>
      </c>
      <c r="N421" t="s">
        <v>15</v>
      </c>
    </row>
    <row r="422" spans="1:14" x14ac:dyDescent="0.3">
      <c r="A422">
        <v>18153</v>
      </c>
      <c r="B422" t="s">
        <v>36</v>
      </c>
      <c r="C422" t="s">
        <v>38</v>
      </c>
      <c r="D422" s="3">
        <v>100000</v>
      </c>
      <c r="E422">
        <v>2</v>
      </c>
      <c r="F422" t="s">
        <v>13</v>
      </c>
      <c r="G422" t="s">
        <v>28</v>
      </c>
      <c r="H422" t="s">
        <v>15</v>
      </c>
      <c r="I422">
        <v>4</v>
      </c>
      <c r="J422" t="s">
        <v>46</v>
      </c>
      <c r="K422" t="s">
        <v>17</v>
      </c>
      <c r="L422">
        <v>59</v>
      </c>
      <c r="M422" t="str" cm="1">
        <f t="array" ref="M422">_xlfn.IFS(AND(L422&gt;=31,L422&lt;=54),"Middle Age",L422&lt;31,"Adolescent",L422&gt;54,"Old")</f>
        <v>Old</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cm="1">
        <f t="array" ref="M423">_xlfn.IFS(AND(L423&gt;=31,L423&lt;=54),"Middle Age",L423&lt;31,"Adolescent",L423&gt;54,"Old")</f>
        <v>Middle Age</v>
      </c>
      <c r="N423" t="s">
        <v>18</v>
      </c>
    </row>
    <row r="424" spans="1:14" x14ac:dyDescent="0.3">
      <c r="A424">
        <v>24901</v>
      </c>
      <c r="B424" t="s">
        <v>37</v>
      </c>
      <c r="C424" t="s">
        <v>39</v>
      </c>
      <c r="D424" s="3">
        <v>110000</v>
      </c>
      <c r="E424">
        <v>0</v>
      </c>
      <c r="F424" t="s">
        <v>19</v>
      </c>
      <c r="G424" t="s">
        <v>28</v>
      </c>
      <c r="H424" t="s">
        <v>18</v>
      </c>
      <c r="I424">
        <v>3</v>
      </c>
      <c r="J424" t="s">
        <v>46</v>
      </c>
      <c r="K424" t="s">
        <v>24</v>
      </c>
      <c r="L424">
        <v>32</v>
      </c>
      <c r="M424" t="str" cm="1">
        <f t="array" ref="M424">_xlfn.IFS(AND(L424&gt;=31,L424&lt;=54),"Middle Age",L424&lt;31,"Adolescent",L424&gt;54,"Old")</f>
        <v>Middle Age</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cm="1">
        <f t="array" ref="M425">_xlfn.IFS(AND(L425&gt;=31,L425&lt;=54),"Middle Age",L425&lt;31,"Adolescent",L425&gt;54,"Old")</f>
        <v>Middle Age</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cm="1">
        <f t="array" ref="M426">_xlfn.IFS(AND(L426&gt;=31,L426&lt;=54),"Middle Age",L426&lt;31,"Adolescent",L426&gt;54,"Old")</f>
        <v>Middle Age</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cm="1">
        <f t="array" ref="M427">_xlfn.IFS(AND(L427&gt;=31,L427&lt;=54),"Middle Age",L427&lt;31,"Adolescent",L427&gt;54,"Old")</f>
        <v>Old</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cm="1">
        <f t="array" ref="M428">_xlfn.IFS(AND(L428&gt;=31,L428&lt;=54),"Middle Age",L428&lt;31,"Adolescent",L428&gt;54,"Old")</f>
        <v>Adolescent</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cm="1">
        <f t="array" ref="M429">_xlfn.IFS(AND(L429&gt;=31,L429&lt;=54),"Middle Age",L429&lt;31,"Adolescent",L429&gt;54,"Old")</f>
        <v>Middle Age</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cm="1">
        <f t="array" ref="M430">_xlfn.IFS(AND(L430&gt;=31,L430&lt;=54),"Middle Age",L430&lt;31,"Adolescent",L430&gt;54,"Old")</f>
        <v>Middle Age</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cm="1">
        <f t="array" ref="M431">_xlfn.IFS(AND(L431&gt;=31,L431&lt;=54),"Middle Age",L431&lt;31,"Adolescent",L431&gt;54,"Old")</f>
        <v>Middle Age</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cm="1">
        <f t="array" ref="M432">_xlfn.IFS(AND(L432&gt;=31,L432&lt;=54),"Middle Age",L432&lt;31,"Adolescent",L432&gt;54,"Old")</f>
        <v>Old</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cm="1">
        <f t="array" ref="M433">_xlfn.IFS(AND(L433&gt;=31,L433&lt;=54),"Middle Age",L433&lt;31,"Adolescent",L433&gt;54,"Old")</f>
        <v>Adolescent</v>
      </c>
      <c r="N433" t="s">
        <v>15</v>
      </c>
    </row>
    <row r="434" spans="1:14" x14ac:dyDescent="0.3">
      <c r="A434">
        <v>21891</v>
      </c>
      <c r="B434" t="s">
        <v>36</v>
      </c>
      <c r="C434" t="s">
        <v>38</v>
      </c>
      <c r="D434" s="3">
        <v>110000</v>
      </c>
      <c r="E434">
        <v>0</v>
      </c>
      <c r="F434" t="s">
        <v>27</v>
      </c>
      <c r="G434" t="s">
        <v>28</v>
      </c>
      <c r="H434" t="s">
        <v>15</v>
      </c>
      <c r="I434">
        <v>3</v>
      </c>
      <c r="J434" t="s">
        <v>46</v>
      </c>
      <c r="K434" t="s">
        <v>24</v>
      </c>
      <c r="L434">
        <v>34</v>
      </c>
      <c r="M434" t="str" cm="1">
        <f t="array" ref="M434">_xlfn.IFS(AND(L434&gt;=31,L434&lt;=54),"Middle Age",L434&lt;31,"Adolescent",L434&gt;54,"Old")</f>
        <v>Middle Age</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cm="1">
        <f t="array" ref="M435">_xlfn.IFS(AND(L435&gt;=31,L435&lt;=54),"Middle Age",L435&lt;31,"Adolescent",L435&gt;54,"Old")</f>
        <v>Adolescent</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cm="1">
        <f t="array" ref="M436">_xlfn.IFS(AND(L436&gt;=31,L436&lt;=54),"Middle Age",L436&lt;31,"Adolescent",L436&gt;54,"Old")</f>
        <v>Middle Age</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cm="1">
        <f t="array" ref="M437">_xlfn.IFS(AND(L437&gt;=31,L437&lt;=54),"Middle Age",L437&lt;31,"Adolescent",L437&gt;54,"Old")</f>
        <v>Old</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cm="1">
        <f t="array" ref="M438">_xlfn.IFS(AND(L438&gt;=31,L438&lt;=54),"Middle Age",L438&lt;31,"Adolescent",L438&gt;54,"Old")</f>
        <v>Middle Age</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cm="1">
        <f t="array" ref="M439">_xlfn.IFS(AND(L439&gt;=31,L439&lt;=54),"Middle Age",L439&lt;31,"Adolescent",L439&gt;54,"Old")</f>
        <v>Adolescent</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cm="1">
        <f t="array" ref="M440">_xlfn.IFS(AND(L440&gt;=31,L440&lt;=54),"Middle Age",L440&lt;31,"Adolescent",L440&gt;54,"Old")</f>
        <v>Middle Age</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cm="1">
        <f t="array" ref="M441">_xlfn.IFS(AND(L441&gt;=31,L441&lt;=54),"Middle Age",L441&lt;31,"Adolescent",L441&gt;54,"Old")</f>
        <v>Middle Age</v>
      </c>
      <c r="N441" t="s">
        <v>18</v>
      </c>
    </row>
    <row r="442" spans="1:14" x14ac:dyDescent="0.3">
      <c r="A442">
        <v>21561</v>
      </c>
      <c r="B442" t="s">
        <v>37</v>
      </c>
      <c r="C442" t="s">
        <v>39</v>
      </c>
      <c r="D442" s="3">
        <v>90000</v>
      </c>
      <c r="E442">
        <v>0</v>
      </c>
      <c r="F442" t="s">
        <v>13</v>
      </c>
      <c r="G442" t="s">
        <v>21</v>
      </c>
      <c r="H442" t="s">
        <v>18</v>
      </c>
      <c r="I442">
        <v>3</v>
      </c>
      <c r="J442" t="s">
        <v>46</v>
      </c>
      <c r="K442" t="s">
        <v>24</v>
      </c>
      <c r="L442">
        <v>34</v>
      </c>
      <c r="M442" t="str" cm="1">
        <f t="array" ref="M442">_xlfn.IFS(AND(L442&gt;=31,L442&lt;=54),"Middle Age",L442&lt;31,"Adolescent",L442&gt;54,"Old")</f>
        <v>Middle Age</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cm="1">
        <f t="array" ref="M443">_xlfn.IFS(AND(L443&gt;=31,L443&lt;=54),"Middle Age",L443&lt;31,"Adolescent",L443&gt;54,"Old")</f>
        <v>Middle Age</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cm="1">
        <f t="array" ref="M444">_xlfn.IFS(AND(L444&gt;=31,L444&lt;=54),"Middle Age",L444&lt;31,"Adolescent",L444&gt;54,"Old")</f>
        <v>Middle Age</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cm="1">
        <f t="array" ref="M445">_xlfn.IFS(AND(L445&gt;=31,L445&lt;=54),"Middle Age",L445&lt;31,"Adolescent",L445&gt;54,"Old")</f>
        <v>Middle Age</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cm="1">
        <f t="array" ref="M446">_xlfn.IFS(AND(L446&gt;=31,L446&lt;=54),"Middle Age",L446&lt;31,"Adolescent",L446&gt;54,"Old")</f>
        <v>Middle Age</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cm="1">
        <f t="array" ref="M447">_xlfn.IFS(AND(L447&gt;=31,L447&lt;=54),"Middle Age",L447&lt;31,"Adolescent",L447&gt;54,"Old")</f>
        <v>Middle Age</v>
      </c>
      <c r="N447" t="s">
        <v>15</v>
      </c>
    </row>
    <row r="448" spans="1:14" x14ac:dyDescent="0.3">
      <c r="A448">
        <v>14278</v>
      </c>
      <c r="B448" t="s">
        <v>36</v>
      </c>
      <c r="C448" t="s">
        <v>38</v>
      </c>
      <c r="D448" s="3">
        <v>130000</v>
      </c>
      <c r="E448">
        <v>0</v>
      </c>
      <c r="F448" t="s">
        <v>31</v>
      </c>
      <c r="G448" t="s">
        <v>28</v>
      </c>
      <c r="H448" t="s">
        <v>15</v>
      </c>
      <c r="I448">
        <v>1</v>
      </c>
      <c r="J448" t="s">
        <v>46</v>
      </c>
      <c r="K448" t="s">
        <v>24</v>
      </c>
      <c r="L448">
        <v>48</v>
      </c>
      <c r="M448" t="str" cm="1">
        <f t="array" ref="M448">_xlfn.IFS(AND(L448&gt;=31,L448&lt;=54),"Middle Age",L448&lt;31,"Adolescent",L448&gt;54,"Old")</f>
        <v>Middle Age</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cm="1">
        <f t="array" ref="M449">_xlfn.IFS(AND(L449&gt;=31,L449&lt;=54),"Middle Age",L449&lt;31,"Adolescent",L449&gt;54,"Old")</f>
        <v>Middle Age</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cm="1">
        <f t="array" ref="M450">_xlfn.IFS(AND(L450&gt;=31,L450&lt;=54),"Middle Age",L450&lt;31,"Adolescent",L450&gt;54,"Old")</f>
        <v>Middle Age</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cm="1">
        <f t="array" ref="M451">_xlfn.IFS(AND(L451&gt;=31,L451&lt;=54),"Middle Age",L451&lt;31,"Adolescent",L451&gt;54,"Old")</f>
        <v>Middle Age</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cm="1">
        <f t="array" ref="M452">_xlfn.IFS(AND(L452&gt;=31,L452&lt;=54),"Middle Age",L452&lt;31,"Adolescent",L452&gt;54,"Old")</f>
        <v>Middle Age</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cm="1">
        <f t="array" ref="M453">_xlfn.IFS(AND(L453&gt;=31,L453&lt;=54),"Middle Age",L453&lt;31,"Adolescent",L453&gt;54,"Old")</f>
        <v>Middle Age</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cm="1">
        <f t="array" ref="M454">_xlfn.IFS(AND(L454&gt;=31,L454&lt;=54),"Middle Age",L454&lt;31,"Adolescent",L454&gt;54,"Old")</f>
        <v>Old</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cm="1">
        <f t="array" ref="M455">_xlfn.IFS(AND(L455&gt;=31,L455&lt;=54),"Middle Age",L455&lt;31,"Adolescent",L455&gt;54,"Old")</f>
        <v>Middle Age</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cm="1">
        <f t="array" ref="M456">_xlfn.IFS(AND(L456&gt;=31,L456&lt;=54),"Middle Age",L456&lt;31,"Adolescent",L456&gt;54,"Old")</f>
        <v>Middle Age</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cm="1">
        <f t="array" ref="M457">_xlfn.IFS(AND(L457&gt;=31,L457&lt;=54),"Middle Age",L457&lt;31,"Adolescent",L457&gt;54,"Old")</f>
        <v>Middle Age</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cm="1">
        <f t="array" ref="M458">_xlfn.IFS(AND(L458&gt;=31,L458&lt;=54),"Middle Age",L458&lt;31,"Adolescent",L458&gt;54,"Old")</f>
        <v>Middle Age</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cm="1">
        <f t="array" ref="M459">_xlfn.IFS(AND(L459&gt;=31,L459&lt;=54),"Middle Age",L459&lt;31,"Adolescent",L459&gt;54,"Old")</f>
        <v>Old</v>
      </c>
      <c r="N459" t="s">
        <v>18</v>
      </c>
    </row>
    <row r="460" spans="1:14" x14ac:dyDescent="0.3">
      <c r="A460">
        <v>21560</v>
      </c>
      <c r="B460" t="s">
        <v>36</v>
      </c>
      <c r="C460" t="s">
        <v>39</v>
      </c>
      <c r="D460" s="3">
        <v>120000</v>
      </c>
      <c r="E460">
        <v>0</v>
      </c>
      <c r="F460" t="s">
        <v>29</v>
      </c>
      <c r="G460" t="s">
        <v>21</v>
      </c>
      <c r="H460" t="s">
        <v>15</v>
      </c>
      <c r="I460">
        <v>4</v>
      </c>
      <c r="J460" t="s">
        <v>46</v>
      </c>
      <c r="K460" t="s">
        <v>24</v>
      </c>
      <c r="L460">
        <v>32</v>
      </c>
      <c r="M460" t="str" cm="1">
        <f t="array" ref="M460">_xlfn.IFS(AND(L460&gt;=31,L460&lt;=54),"Middle Age",L460&lt;31,"Adolescent",L460&gt;54,"Old")</f>
        <v>Middle Age</v>
      </c>
      <c r="N460" t="s">
        <v>15</v>
      </c>
    </row>
    <row r="461" spans="1:14" x14ac:dyDescent="0.3">
      <c r="A461">
        <v>21554</v>
      </c>
      <c r="B461" t="s">
        <v>37</v>
      </c>
      <c r="C461" t="s">
        <v>38</v>
      </c>
      <c r="D461" s="3">
        <v>80000</v>
      </c>
      <c r="E461">
        <v>0</v>
      </c>
      <c r="F461" t="s">
        <v>13</v>
      </c>
      <c r="G461" t="s">
        <v>21</v>
      </c>
      <c r="H461" t="s">
        <v>18</v>
      </c>
      <c r="I461">
        <v>3</v>
      </c>
      <c r="J461" t="s">
        <v>46</v>
      </c>
      <c r="K461" t="s">
        <v>24</v>
      </c>
      <c r="L461">
        <v>33</v>
      </c>
      <c r="M461" t="str" cm="1">
        <f t="array" ref="M461">_xlfn.IFS(AND(L461&gt;=31,L461&lt;=54),"Middle Age",L461&lt;31,"Adolescent",L461&gt;54,"Old")</f>
        <v>Middle Age</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cm="1">
        <f t="array" ref="M462">_xlfn.IFS(AND(L462&gt;=31,L462&lt;=54),"Middle Age",L462&lt;31,"Adolescent",L462&gt;54,"Old")</f>
        <v>Middle Age</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cm="1">
        <f t="array" ref="M463">_xlfn.IFS(AND(L463&gt;=31,L463&lt;=54),"Middle Age",L463&lt;31,"Adolescent",L463&gt;54,"Old")</f>
        <v>Middle Age</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cm="1">
        <f t="array" ref="M464">_xlfn.IFS(AND(L464&gt;=31,L464&lt;=54),"Middle Age",L464&lt;31,"Adolescent",L464&gt;54,"Old")</f>
        <v>Middle Age</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cm="1">
        <f t="array" ref="M465">_xlfn.IFS(AND(L465&gt;=31,L465&lt;=54),"Middle Age",L465&lt;31,"Adolescent",L465&gt;54,"Old")</f>
        <v>Middle Age</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cm="1">
        <f t="array" ref="M466">_xlfn.IFS(AND(L466&gt;=31,L466&lt;=54),"Middle Age",L466&lt;31,"Adolescent",L466&gt;54,"Old")</f>
        <v>Middle Age</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cm="1">
        <f t="array" ref="M467">_xlfn.IFS(AND(L467&gt;=31,L467&lt;=54),"Middle Age",L467&lt;31,"Adolescent",L467&gt;54,"Old")</f>
        <v>Old</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cm="1">
        <f t="array" ref="M468">_xlfn.IFS(AND(L468&gt;=31,L468&lt;=54),"Middle Age",L468&lt;31,"Adolescent",L468&gt;54,"Old")</f>
        <v>Middle Age</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cm="1">
        <f t="array" ref="M469">_xlfn.IFS(AND(L469&gt;=31,L469&lt;=54),"Middle Age",L469&lt;31,"Adolescent",L469&gt;54,"Old")</f>
        <v>Middle Age</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cm="1">
        <f t="array" ref="M470">_xlfn.IFS(AND(L470&gt;=31,L470&lt;=54),"Middle Age",L470&lt;31,"Adolescent",L470&gt;54,"Old")</f>
        <v>Middle Age</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cm="1">
        <f t="array" ref="M471">_xlfn.IFS(AND(L471&gt;=31,L471&lt;=54),"Middle Age",L471&lt;31,"Adolescent",L471&gt;54,"Old")</f>
        <v>Old</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cm="1">
        <f t="array" ref="M472">_xlfn.IFS(AND(L472&gt;=31,L472&lt;=54),"Middle Age",L472&lt;31,"Adolescent",L472&gt;54,"Old")</f>
        <v>Adolescent</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cm="1">
        <f t="array" ref="M473">_xlfn.IFS(AND(L473&gt;=31,L473&lt;=54),"Middle Age",L473&lt;31,"Adolescent",L473&gt;54,"Old")</f>
        <v>Middle Age</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cm="1">
        <f t="array" ref="M474">_xlfn.IFS(AND(L474&gt;=31,L474&lt;=54),"Middle Age",L474&lt;31,"Adolescent",L474&gt;54,"Old")</f>
        <v>Middle Age</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cm="1">
        <f t="array" ref="M475">_xlfn.IFS(AND(L475&gt;=31,L475&lt;=54),"Middle Age",L475&lt;31,"Adolescent",L475&gt;54,"Old")</f>
        <v>Middle Age</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cm="1">
        <f t="array" ref="M476">_xlfn.IFS(AND(L476&gt;=31,L476&lt;=54),"Middle Age",L476&lt;31,"Adolescent",L476&gt;54,"Old")</f>
        <v>Middle Age</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cm="1">
        <f t="array" ref="M477">_xlfn.IFS(AND(L477&gt;=31,L477&lt;=54),"Middle Age",L477&lt;31,"Adolescent",L477&gt;54,"Old")</f>
        <v>Old</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cm="1">
        <f t="array" ref="M478">_xlfn.IFS(AND(L478&gt;=31,L478&lt;=54),"Middle Age",L478&lt;31,"Adolescent",L478&gt;54,"Old")</f>
        <v>Middle Age</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cm="1">
        <f t="array" ref="M479">_xlfn.IFS(AND(L479&gt;=31,L479&lt;=54),"Middle Age",L479&lt;31,"Adolescent",L479&gt;54,"Old")</f>
        <v>Middle Age</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cm="1">
        <f t="array" ref="M480">_xlfn.IFS(AND(L480&gt;=31,L480&lt;=54),"Middle Age",L480&lt;31,"Adolescent",L480&gt;54,"Old")</f>
        <v>Middle Age</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cm="1">
        <f t="array" ref="M481">_xlfn.IFS(AND(L481&gt;=31,L481&lt;=54),"Middle Age",L481&lt;31,"Adolescent",L481&gt;54,"Old")</f>
        <v>Middle Age</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cm="1">
        <f t="array" ref="M482">_xlfn.IFS(AND(L482&gt;=31,L482&lt;=54),"Middle Age",L482&lt;31,"Adolescent",L482&gt;54,"Old")</f>
        <v>Middle Age</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cm="1">
        <f t="array" ref="M483">_xlfn.IFS(AND(L483&gt;=31,L483&lt;=54),"Middle Age",L483&lt;31,"Adolescent",L483&gt;54,"Old")</f>
        <v>Middle Age</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cm="1">
        <f t="array" ref="M484">_xlfn.IFS(AND(L484&gt;=31,L484&lt;=54),"Middle Age",L484&lt;31,"Adolescent",L484&gt;54,"Old")</f>
        <v>Middle Age</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cm="1">
        <f t="array" ref="M485">_xlfn.IFS(AND(L485&gt;=31,L485&lt;=54),"Middle Age",L485&lt;31,"Adolescent",L485&gt;54,"Old")</f>
        <v>Old</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cm="1">
        <f t="array" ref="M486">_xlfn.IFS(AND(L486&gt;=31,L486&lt;=54),"Middle Age",L486&lt;31,"Adolescent",L486&gt;54,"Old")</f>
        <v>Middle Age</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cm="1">
        <f t="array" ref="M487">_xlfn.IFS(AND(L487&gt;=31,L487&lt;=54),"Middle Age",L487&lt;31,"Adolescent",L487&gt;54,"Old")</f>
        <v>Middle Age</v>
      </c>
      <c r="N487" t="s">
        <v>18</v>
      </c>
    </row>
    <row r="488" spans="1:14" x14ac:dyDescent="0.3">
      <c r="A488">
        <v>26415</v>
      </c>
      <c r="B488" t="s">
        <v>36</v>
      </c>
      <c r="C488" t="s">
        <v>38</v>
      </c>
      <c r="D488" s="3">
        <v>90000</v>
      </c>
      <c r="E488">
        <v>4</v>
      </c>
      <c r="F488" t="s">
        <v>29</v>
      </c>
      <c r="G488" t="s">
        <v>14</v>
      </c>
      <c r="H488" t="s">
        <v>15</v>
      </c>
      <c r="I488">
        <v>4</v>
      </c>
      <c r="J488" t="s">
        <v>46</v>
      </c>
      <c r="K488" t="s">
        <v>17</v>
      </c>
      <c r="L488">
        <v>58</v>
      </c>
      <c r="M488" t="str" cm="1">
        <f t="array" ref="M488">_xlfn.IFS(AND(L488&gt;=31,L488&lt;=54),"Middle Age",L488&lt;31,"Adolescent",L488&gt;54,"Old")</f>
        <v>Old</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cm="1">
        <f t="array" ref="M489">_xlfn.IFS(AND(L489&gt;=31,L489&lt;=54),"Middle Age",L489&lt;31,"Adolescent",L489&gt;54,"Old")</f>
        <v>Middle Age</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cm="1">
        <f t="array" ref="M490">_xlfn.IFS(AND(L490&gt;=31,L490&lt;=54),"Middle Age",L490&lt;31,"Adolescent",L490&gt;54,"Old")</f>
        <v>Middle Age</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cm="1">
        <f t="array" ref="M491">_xlfn.IFS(AND(L491&gt;=31,L491&lt;=54),"Middle Age",L491&lt;31,"Adolescent",L491&gt;54,"Old")</f>
        <v>Middle Age</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cm="1">
        <f t="array" ref="M492">_xlfn.IFS(AND(L492&gt;=31,L492&lt;=54),"Middle Age",L492&lt;31,"Adolescent",L492&gt;54,"Old")</f>
        <v>Middle Age</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cm="1">
        <f t="array" ref="M493">_xlfn.IFS(AND(L493&gt;=31,L493&lt;=54),"Middle Age",L493&lt;31,"Adolescent",L493&gt;54,"Old")</f>
        <v>Middle Age</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cm="1">
        <f t="array" ref="M494">_xlfn.IFS(AND(L494&gt;=31,L494&lt;=54),"Middle Age",L494&lt;31,"Adolescent",L494&gt;54,"Old")</f>
        <v>Middle Age</v>
      </c>
      <c r="N494" t="s">
        <v>15</v>
      </c>
    </row>
    <row r="495" spans="1:14" x14ac:dyDescent="0.3">
      <c r="A495">
        <v>23707</v>
      </c>
      <c r="B495" t="s">
        <v>37</v>
      </c>
      <c r="C495" t="s">
        <v>39</v>
      </c>
      <c r="D495" s="3">
        <v>70000</v>
      </c>
      <c r="E495">
        <v>5</v>
      </c>
      <c r="F495" t="s">
        <v>13</v>
      </c>
      <c r="G495" t="s">
        <v>28</v>
      </c>
      <c r="H495" t="s">
        <v>15</v>
      </c>
      <c r="I495">
        <v>3</v>
      </c>
      <c r="J495" t="s">
        <v>46</v>
      </c>
      <c r="K495" t="s">
        <v>32</v>
      </c>
      <c r="L495">
        <v>60</v>
      </c>
      <c r="M495" t="str" cm="1">
        <f t="array" ref="M495">_xlfn.IFS(AND(L495&gt;=31,L495&lt;=54),"Middle Age",L495&lt;31,"Adolescent",L495&gt;54,"Old")</f>
        <v>Old</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cm="1">
        <f t="array" ref="M496">_xlfn.IFS(AND(L496&gt;=31,L496&lt;=54),"Middle Age",L496&lt;31,"Adolescent",L496&gt;54,"Old")</f>
        <v>Middle Age</v>
      </c>
      <c r="N496" t="s">
        <v>18</v>
      </c>
    </row>
    <row r="497" spans="1:14" x14ac:dyDescent="0.3">
      <c r="A497">
        <v>24981</v>
      </c>
      <c r="B497" t="s">
        <v>36</v>
      </c>
      <c r="C497" t="s">
        <v>39</v>
      </c>
      <c r="D497" s="3">
        <v>60000</v>
      </c>
      <c r="E497">
        <v>2</v>
      </c>
      <c r="F497" t="s">
        <v>19</v>
      </c>
      <c r="G497" t="s">
        <v>21</v>
      </c>
      <c r="H497" t="s">
        <v>15</v>
      </c>
      <c r="I497">
        <v>2</v>
      </c>
      <c r="J497" t="s">
        <v>46</v>
      </c>
      <c r="K497" t="s">
        <v>32</v>
      </c>
      <c r="L497">
        <v>56</v>
      </c>
      <c r="M497" t="str" cm="1">
        <f t="array" ref="M497">_xlfn.IFS(AND(L497&gt;=31,L497&lt;=54),"Middle Age",L497&lt;31,"Adolescent",L497&gt;54,"Old")</f>
        <v>Old</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cm="1">
        <f t="array" ref="M498">_xlfn.IFS(AND(L498&gt;=31,L498&lt;=54),"Middle Age",L498&lt;31,"Adolescent",L498&gt;54,"Old")</f>
        <v>Middle Age</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cm="1">
        <f t="array" ref="M499">_xlfn.IFS(AND(L499&gt;=31,L499&lt;=54),"Middle Age",L499&lt;31,"Adolescent",L499&gt;54,"Old")</f>
        <v>Middle Age</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cm="1">
        <f t="array" ref="M500">_xlfn.IFS(AND(L500&gt;=31,L500&lt;=54),"Middle Age",L500&lt;31,"Adolescent",L500&gt;54,"Old")</f>
        <v>Middle Age</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cm="1">
        <f t="array" ref="M501">_xlfn.IFS(AND(L501&gt;=31,L501&lt;=54),"Middle Age",L501&lt;31,"Adolescent",L501&gt;54,"Old")</f>
        <v>Middle Age</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cm="1">
        <f t="array" ref="M502">_xlfn.IFS(AND(L502&gt;=31,L502&lt;=54),"Middle Age",L502&lt;31,"Adolescent",L502&gt;54,"Old")</f>
        <v>Middle Age</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cm="1">
        <f t="array" ref="M503">_xlfn.IFS(AND(L503&gt;=31,L503&lt;=54),"Middle Age",L503&lt;31,"Adolescent",L503&gt;54,"Old")</f>
        <v>Middle Age</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cm="1">
        <f t="array" ref="M504">_xlfn.IFS(AND(L504&gt;=31,L504&lt;=54),"Middle Age",L504&lt;31,"Adolescent",L504&gt;54,"Old")</f>
        <v>Adolescent</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cm="1">
        <f t="array" ref="M505">_xlfn.IFS(AND(L505&gt;=31,L505&lt;=54),"Middle Age",L505&lt;31,"Adolescent",L505&gt;54,"Old")</f>
        <v>Middle Age</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cm="1">
        <f t="array" ref="M506">_xlfn.IFS(AND(L506&gt;=31,L506&lt;=54),"Middle Age",L506&lt;31,"Adolescent",L506&gt;54,"Old")</f>
        <v>Middle Age</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cm="1">
        <f t="array" ref="M507">_xlfn.IFS(AND(L507&gt;=31,L507&lt;=54),"Middle Age",L507&lt;31,"Adolescent",L507&gt;54,"Old")</f>
        <v>Middle Age</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cm="1">
        <f t="array" ref="M508">_xlfn.IFS(AND(L508&gt;=31,L508&lt;=54),"Middle Age",L508&lt;31,"Adolescent",L508&gt;54,"Old")</f>
        <v>Middle Age</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cm="1">
        <f t="array" ref="M509">_xlfn.IFS(AND(L509&gt;=31,L509&lt;=54),"Middle Age",L509&lt;31,"Adolescent",L509&gt;54,"Old")</f>
        <v>Middle Age</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cm="1">
        <f t="array" ref="M510">_xlfn.IFS(AND(L510&gt;=31,L510&lt;=54),"Middle Age",L510&lt;31,"Adolescent",L510&gt;54,"Old")</f>
        <v>Adolescent</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cm="1">
        <f t="array" ref="M511">_xlfn.IFS(AND(L511&gt;=31,L511&lt;=54),"Middle Age",L511&lt;31,"Adolescent",L511&gt;54,"Old")</f>
        <v>Middle Age</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cm="1">
        <f t="array" ref="M512">_xlfn.IFS(AND(L512&gt;=31,L512&lt;=54),"Middle Age",L512&lt;31,"Adolescent",L512&gt;54,"Old")</f>
        <v>Middle Age</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cm="1">
        <f t="array" ref="M513">_xlfn.IFS(AND(L513&gt;=31,L513&lt;=54),"Middle Age",L513&lt;31,"Adolescent",L513&gt;54,"Old")</f>
        <v>Old</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cm="1">
        <f t="array" ref="M514">_xlfn.IFS(AND(L514&gt;=31,L514&lt;=54),"Middle Age",L514&lt;31,"Adolescent",L514&gt;54,"Old")</f>
        <v>Middle Age</v>
      </c>
      <c r="N514" t="s">
        <v>15</v>
      </c>
    </row>
    <row r="515" spans="1:14" x14ac:dyDescent="0.3">
      <c r="A515">
        <v>13353</v>
      </c>
      <c r="B515" t="s">
        <v>37</v>
      </c>
      <c r="C515" t="s">
        <v>38</v>
      </c>
      <c r="D515" s="3">
        <v>60000</v>
      </c>
      <c r="E515">
        <v>4</v>
      </c>
      <c r="F515" t="s">
        <v>31</v>
      </c>
      <c r="G515" t="s">
        <v>28</v>
      </c>
      <c r="H515" t="s">
        <v>15</v>
      </c>
      <c r="I515">
        <v>2</v>
      </c>
      <c r="J515" t="s">
        <v>46</v>
      </c>
      <c r="K515" t="s">
        <v>32</v>
      </c>
      <c r="L515">
        <v>61</v>
      </c>
      <c r="M515" t="str" cm="1">
        <f t="array" ref="M515">_xlfn.IFS(AND(L515&gt;=31,L515&lt;=54),"Middle Age",L515&lt;31,"Adolescent",L515&gt;54,"Old")</f>
        <v>Old</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cm="1">
        <f t="array" ref="M516">_xlfn.IFS(AND(L516&gt;=31,L516&lt;=54),"Middle Age",L516&lt;31,"Adolescent",L516&gt;54,"Old")</f>
        <v>Middle Age</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cm="1">
        <f t="array" ref="M517">_xlfn.IFS(AND(L517&gt;=31,L517&lt;=54),"Middle Age",L517&lt;31,"Adolescent",L517&gt;54,"Old")</f>
        <v>Middle Age</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cm="1">
        <f t="array" ref="M518">_xlfn.IFS(AND(L518&gt;=31,L518&lt;=54),"Middle Age",L518&lt;31,"Adolescent",L518&gt;54,"Old")</f>
        <v>Middle Age</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cm="1">
        <f t="array" ref="M519">_xlfn.IFS(AND(L519&gt;=31,L519&lt;=54),"Middle Age",L519&lt;31,"Adolescent",L519&gt;54,"Old")</f>
        <v>Middle Age</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cm="1">
        <f t="array" ref="M520">_xlfn.IFS(AND(L520&gt;=31,L520&lt;=54),"Middle Age",L520&lt;31,"Adolescent",L520&gt;54,"Old")</f>
        <v>Middle Age</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cm="1">
        <f t="array" ref="M521">_xlfn.IFS(AND(L521&gt;=31,L521&lt;=54),"Middle Age",L521&lt;31,"Adolescent",L521&gt;54,"Old")</f>
        <v>Old</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cm="1">
        <f t="array" ref="M522">_xlfn.IFS(AND(L522&gt;=31,L522&lt;=54),"Middle Age",L522&lt;31,"Adolescent",L522&gt;54,"Old")</f>
        <v>Middle Age</v>
      </c>
      <c r="N522" t="s">
        <v>18</v>
      </c>
    </row>
    <row r="523" spans="1:14" x14ac:dyDescent="0.3">
      <c r="A523">
        <v>18976</v>
      </c>
      <c r="B523" t="s">
        <v>37</v>
      </c>
      <c r="C523" t="s">
        <v>39</v>
      </c>
      <c r="D523" s="3">
        <v>40000</v>
      </c>
      <c r="E523">
        <v>4</v>
      </c>
      <c r="F523" t="s">
        <v>27</v>
      </c>
      <c r="G523" t="s">
        <v>21</v>
      </c>
      <c r="H523" t="s">
        <v>15</v>
      </c>
      <c r="I523">
        <v>2</v>
      </c>
      <c r="J523" t="s">
        <v>46</v>
      </c>
      <c r="K523" t="s">
        <v>32</v>
      </c>
      <c r="L523">
        <v>62</v>
      </c>
      <c r="M523" t="str" cm="1">
        <f t="array" ref="M523">_xlfn.IFS(AND(L523&gt;=31,L523&lt;=54),"Middle Age",L523&lt;31,"Adolescent",L523&gt;54,"Old")</f>
        <v>Old</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cm="1">
        <f t="array" ref="M524">_xlfn.IFS(AND(L524&gt;=31,L524&lt;=54),"Middle Age",L524&lt;31,"Adolescent",L524&gt;54,"Old")</f>
        <v>Middle Age</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cm="1">
        <f t="array" ref="M525">_xlfn.IFS(AND(L525&gt;=31,L525&lt;=54),"Middle Age",L525&lt;31,"Adolescent",L525&gt;54,"Old")</f>
        <v>Middle Age</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cm="1">
        <f t="array" ref="M526">_xlfn.IFS(AND(L526&gt;=31,L526&lt;=54),"Middle Age",L526&lt;31,"Adolescent",L526&gt;54,"Old")</f>
        <v>Old</v>
      </c>
      <c r="N526" t="s">
        <v>18</v>
      </c>
    </row>
    <row r="527" spans="1:14" x14ac:dyDescent="0.3">
      <c r="A527">
        <v>16791</v>
      </c>
      <c r="B527" t="s">
        <v>37</v>
      </c>
      <c r="C527" t="s">
        <v>39</v>
      </c>
      <c r="D527" s="3">
        <v>60000</v>
      </c>
      <c r="E527">
        <v>5</v>
      </c>
      <c r="F527" t="s">
        <v>13</v>
      </c>
      <c r="G527" t="s">
        <v>28</v>
      </c>
      <c r="H527" t="s">
        <v>15</v>
      </c>
      <c r="I527">
        <v>3</v>
      </c>
      <c r="J527" t="s">
        <v>46</v>
      </c>
      <c r="K527" t="s">
        <v>32</v>
      </c>
      <c r="L527">
        <v>59</v>
      </c>
      <c r="M527" t="str" cm="1">
        <f t="array" ref="M527">_xlfn.IFS(AND(L527&gt;=31,L527&lt;=54),"Middle Age",L527&lt;31,"Adolescent",L527&gt;54,"Old")</f>
        <v>Old</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cm="1">
        <f t="array" ref="M528">_xlfn.IFS(AND(L528&gt;=31,L528&lt;=54),"Middle Age",L528&lt;31,"Adolescent",L528&gt;54,"Old")</f>
        <v>Middle Age</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cm="1">
        <f t="array" ref="M529">_xlfn.IFS(AND(L529&gt;=31,L529&lt;=54),"Middle Age",L529&lt;31,"Adolescent",L529&gt;54,"Old")</f>
        <v>Middle Age</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cm="1">
        <f t="array" ref="M530">_xlfn.IFS(AND(L530&gt;=31,L530&lt;=54),"Middle Age",L530&lt;31,"Adolescent",L530&gt;54,"Old")</f>
        <v>Adolescent</v>
      </c>
      <c r="N530" t="s">
        <v>18</v>
      </c>
    </row>
    <row r="531" spans="1:14" x14ac:dyDescent="0.3">
      <c r="A531">
        <v>13233</v>
      </c>
      <c r="B531" t="s">
        <v>36</v>
      </c>
      <c r="C531" t="s">
        <v>39</v>
      </c>
      <c r="D531" s="3">
        <v>60000</v>
      </c>
      <c r="E531">
        <v>2</v>
      </c>
      <c r="F531" t="s">
        <v>19</v>
      </c>
      <c r="G531" t="s">
        <v>21</v>
      </c>
      <c r="H531" t="s">
        <v>15</v>
      </c>
      <c r="I531">
        <v>1</v>
      </c>
      <c r="J531" t="s">
        <v>46</v>
      </c>
      <c r="K531" t="s">
        <v>32</v>
      </c>
      <c r="L531">
        <v>57</v>
      </c>
      <c r="M531" t="str" cm="1">
        <f t="array" ref="M531">_xlfn.IFS(AND(L531&gt;=31,L531&lt;=54),"Middle Age",L531&lt;31,"Adolescent",L531&gt;54,"Old")</f>
        <v>Old</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cm="1">
        <f t="array" ref="M532">_xlfn.IFS(AND(L532&gt;=31,L532&lt;=54),"Middle Age",L532&lt;31,"Adolescent",L532&gt;54,"Old")</f>
        <v>Adolescent</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cm="1">
        <f t="array" ref="M533">_xlfn.IFS(AND(L533&gt;=31,L533&lt;=54),"Middle Age",L533&lt;31,"Adolescent",L533&gt;54,"Old")</f>
        <v>Adolescent</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cm="1">
        <f t="array" ref="M534">_xlfn.IFS(AND(L534&gt;=31,L534&lt;=54),"Middle Age",L534&lt;31,"Adolescent",L534&gt;54,"Old")</f>
        <v>Middle Age</v>
      </c>
      <c r="N534" t="s">
        <v>15</v>
      </c>
    </row>
    <row r="535" spans="1:14" x14ac:dyDescent="0.3">
      <c r="A535">
        <v>24941</v>
      </c>
      <c r="B535" t="s">
        <v>36</v>
      </c>
      <c r="C535" t="s">
        <v>39</v>
      </c>
      <c r="D535" s="3">
        <v>60000</v>
      </c>
      <c r="E535">
        <v>3</v>
      </c>
      <c r="F535" t="s">
        <v>13</v>
      </c>
      <c r="G535" t="s">
        <v>28</v>
      </c>
      <c r="H535" t="s">
        <v>15</v>
      </c>
      <c r="I535">
        <v>2</v>
      </c>
      <c r="J535" t="s">
        <v>46</v>
      </c>
      <c r="K535" t="s">
        <v>32</v>
      </c>
      <c r="L535">
        <v>66</v>
      </c>
      <c r="M535" t="str" cm="1">
        <f t="array" ref="M535">_xlfn.IFS(AND(L535&gt;=31,L535&lt;=54),"Middle Age",L535&lt;31,"Adolescent",L535&gt;54,"Old")</f>
        <v>Old</v>
      </c>
      <c r="N535" t="s">
        <v>18</v>
      </c>
    </row>
    <row r="536" spans="1:14" x14ac:dyDescent="0.3">
      <c r="A536">
        <v>24637</v>
      </c>
      <c r="B536" t="s">
        <v>36</v>
      </c>
      <c r="C536" t="s">
        <v>39</v>
      </c>
      <c r="D536" s="3">
        <v>40000</v>
      </c>
      <c r="E536">
        <v>4</v>
      </c>
      <c r="F536" t="s">
        <v>27</v>
      </c>
      <c r="G536" t="s">
        <v>21</v>
      </c>
      <c r="H536" t="s">
        <v>15</v>
      </c>
      <c r="I536">
        <v>2</v>
      </c>
      <c r="J536" t="s">
        <v>46</v>
      </c>
      <c r="K536" t="s">
        <v>32</v>
      </c>
      <c r="L536">
        <v>64</v>
      </c>
      <c r="M536" t="str" cm="1">
        <f t="array" ref="M536">_xlfn.IFS(AND(L536&gt;=31,L536&lt;=54),"Middle Age",L536&lt;31,"Adolescent",L536&gt;54,"Old")</f>
        <v>Old</v>
      </c>
      <c r="N536" t="s">
        <v>18</v>
      </c>
    </row>
    <row r="537" spans="1:14" x14ac:dyDescent="0.3">
      <c r="A537">
        <v>23893</v>
      </c>
      <c r="B537" t="s">
        <v>36</v>
      </c>
      <c r="C537" t="s">
        <v>39</v>
      </c>
      <c r="D537" s="3">
        <v>50000</v>
      </c>
      <c r="E537">
        <v>3</v>
      </c>
      <c r="F537" t="s">
        <v>13</v>
      </c>
      <c r="G537" t="s">
        <v>14</v>
      </c>
      <c r="H537" t="s">
        <v>15</v>
      </c>
      <c r="I537">
        <v>3</v>
      </c>
      <c r="J537" t="s">
        <v>46</v>
      </c>
      <c r="K537" t="s">
        <v>32</v>
      </c>
      <c r="L537">
        <v>41</v>
      </c>
      <c r="M537" t="str" cm="1">
        <f t="array" ref="M537">_xlfn.IFS(AND(L537&gt;=31,L537&lt;=54),"Middle Age",L537&lt;31,"Adolescent",L537&gt;54,"Old")</f>
        <v>Middle Age</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cm="1">
        <f t="array" ref="M538">_xlfn.IFS(AND(L538&gt;=31,L538&lt;=54),"Middle Age",L538&lt;31,"Adolescent",L538&gt;54,"Old")</f>
        <v>Middle Age</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cm="1">
        <f t="array" ref="M539">_xlfn.IFS(AND(L539&gt;=31,L539&lt;=54),"Middle Age",L539&lt;31,"Adolescent",L539&gt;54,"Old")</f>
        <v>Middle Age</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cm="1">
        <f t="array" ref="M540">_xlfn.IFS(AND(L540&gt;=31,L540&lt;=54),"Middle Age",L540&lt;31,"Adolescent",L540&gt;54,"Old")</f>
        <v>Middle Age</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cm="1">
        <f t="array" ref="M541">_xlfn.IFS(AND(L541&gt;=31,L541&lt;=54),"Middle Age",L541&lt;31,"Adolescent",L541&gt;54,"Old")</f>
        <v>Middle Age</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cm="1">
        <f t="array" ref="M542">_xlfn.IFS(AND(L542&gt;=31,L542&lt;=54),"Middle Age",L542&lt;31,"Adolescent",L542&gt;54,"Old")</f>
        <v>Middle Age</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cm="1">
        <f t="array" ref="M543">_xlfn.IFS(AND(L543&gt;=31,L543&lt;=54),"Middle Age",L543&lt;31,"Adolescent",L543&gt;54,"Old")</f>
        <v>Middle Age</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cm="1">
        <f t="array" ref="M544">_xlfn.IFS(AND(L544&gt;=31,L544&lt;=54),"Middle Age",L544&lt;31,"Adolescent",L544&gt;54,"Old")</f>
        <v>Adolescent</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cm="1">
        <f t="array" ref="M545">_xlfn.IFS(AND(L545&gt;=31,L545&lt;=54),"Middle Age",L545&lt;31,"Adolescent",L545&gt;54,"Old")</f>
        <v>Middle Age</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cm="1">
        <f t="array" ref="M546">_xlfn.IFS(AND(L546&gt;=31,L546&lt;=54),"Middle Age",L546&lt;31,"Adolescent",L546&gt;54,"Old")</f>
        <v>Middle Age</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cm="1">
        <f t="array" ref="M547">_xlfn.IFS(AND(L547&gt;=31,L547&lt;=54),"Middle Age",L547&lt;31,"Adolescent",L547&gt;54,"Old")</f>
        <v>Adolescent</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cm="1">
        <f t="array" ref="M548">_xlfn.IFS(AND(L548&gt;=31,L548&lt;=54),"Middle Age",L548&lt;31,"Adolescent",L548&gt;54,"Old")</f>
        <v>Middle Age</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cm="1">
        <f t="array" ref="M549">_xlfn.IFS(AND(L549&gt;=31,L549&lt;=54),"Middle Age",L549&lt;31,"Adolescent",L549&gt;54,"Old")</f>
        <v>Old</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cm="1">
        <f t="array" ref="M550">_xlfn.IFS(AND(L550&gt;=31,L550&lt;=54),"Middle Age",L550&lt;31,"Adolescent",L550&gt;54,"Old")</f>
        <v>Middle Age</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cm="1">
        <f t="array" ref="M551">_xlfn.IFS(AND(L551&gt;=31,L551&lt;=54),"Middle Age",L551&lt;31,"Adolescent",L551&gt;54,"Old")</f>
        <v>Middle Age</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cm="1">
        <f t="array" ref="M552">_xlfn.IFS(AND(L552&gt;=31,L552&lt;=54),"Middle Age",L552&lt;31,"Adolescent",L552&gt;54,"Old")</f>
        <v>Middle Age</v>
      </c>
      <c r="N552" t="s">
        <v>15</v>
      </c>
    </row>
    <row r="553" spans="1:14" x14ac:dyDescent="0.3">
      <c r="A553">
        <v>27393</v>
      </c>
      <c r="B553" t="s">
        <v>36</v>
      </c>
      <c r="C553" t="s">
        <v>38</v>
      </c>
      <c r="D553" s="3">
        <v>50000</v>
      </c>
      <c r="E553">
        <v>4</v>
      </c>
      <c r="F553" t="s">
        <v>13</v>
      </c>
      <c r="G553" t="s">
        <v>28</v>
      </c>
      <c r="H553" t="s">
        <v>15</v>
      </c>
      <c r="I553">
        <v>2</v>
      </c>
      <c r="J553" t="s">
        <v>46</v>
      </c>
      <c r="K553" t="s">
        <v>32</v>
      </c>
      <c r="L553">
        <v>63</v>
      </c>
      <c r="M553" t="str" cm="1">
        <f t="array" ref="M553">_xlfn.IFS(AND(L553&gt;=31,L553&lt;=54),"Middle Age",L553&lt;31,"Adolescent",L553&gt;54,"Old")</f>
        <v>Old</v>
      </c>
      <c r="N553" t="s">
        <v>18</v>
      </c>
    </row>
    <row r="554" spans="1:14" x14ac:dyDescent="0.3">
      <c r="A554">
        <v>14417</v>
      </c>
      <c r="B554" t="s">
        <v>37</v>
      </c>
      <c r="C554" t="s">
        <v>39</v>
      </c>
      <c r="D554" s="3">
        <v>60000</v>
      </c>
      <c r="E554">
        <v>3</v>
      </c>
      <c r="F554" t="s">
        <v>27</v>
      </c>
      <c r="G554" t="s">
        <v>21</v>
      </c>
      <c r="H554" t="s">
        <v>15</v>
      </c>
      <c r="I554">
        <v>2</v>
      </c>
      <c r="J554" t="s">
        <v>46</v>
      </c>
      <c r="K554" t="s">
        <v>32</v>
      </c>
      <c r="L554">
        <v>54</v>
      </c>
      <c r="M554" t="str" cm="1">
        <f t="array" ref="M554">_xlfn.IFS(AND(L554&gt;=31,L554&lt;=54),"Middle Age",L554&lt;31,"Adolescent",L554&gt;54,"Old")</f>
        <v>Middle Age</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cm="1">
        <f t="array" ref="M555">_xlfn.IFS(AND(L555&gt;=31,L555&lt;=54),"Middle Age",L555&lt;31,"Adolescent",L555&gt;54,"Old")</f>
        <v>Old</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cm="1">
        <f t="array" ref="M556">_xlfn.IFS(AND(L556&gt;=31,L556&lt;=54),"Middle Age",L556&lt;31,"Adolescent",L556&gt;54,"Old")</f>
        <v>Middle Age</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cm="1">
        <f t="array" ref="M557">_xlfn.IFS(AND(L557&gt;=31,L557&lt;=54),"Middle Age",L557&lt;31,"Adolescent",L557&gt;54,"Old")</f>
        <v>Middle Age</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cm="1">
        <f t="array" ref="M558">_xlfn.IFS(AND(L558&gt;=31,L558&lt;=54),"Middle Age",L558&lt;31,"Adolescent",L558&gt;54,"Old")</f>
        <v>Middle Age</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cm="1">
        <f t="array" ref="M559">_xlfn.IFS(AND(L559&gt;=31,L559&lt;=54),"Middle Age",L559&lt;31,"Adolescent",L559&gt;54,"Old")</f>
        <v>Middle Age</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cm="1">
        <f t="array" ref="M560">_xlfn.IFS(AND(L560&gt;=31,L560&lt;=54),"Middle Age",L560&lt;31,"Adolescent",L560&gt;54,"Old")</f>
        <v>Middle Age</v>
      </c>
      <c r="N560" t="s">
        <v>18</v>
      </c>
    </row>
    <row r="561" spans="1:14" x14ac:dyDescent="0.3">
      <c r="A561">
        <v>15895</v>
      </c>
      <c r="B561" t="s">
        <v>37</v>
      </c>
      <c r="C561" t="s">
        <v>38</v>
      </c>
      <c r="D561" s="3">
        <v>60000</v>
      </c>
      <c r="E561">
        <v>2</v>
      </c>
      <c r="F561" t="s">
        <v>13</v>
      </c>
      <c r="G561" t="s">
        <v>28</v>
      </c>
      <c r="H561" t="s">
        <v>15</v>
      </c>
      <c r="I561">
        <v>0</v>
      </c>
      <c r="J561" t="s">
        <v>46</v>
      </c>
      <c r="K561" t="s">
        <v>32</v>
      </c>
      <c r="L561">
        <v>58</v>
      </c>
      <c r="M561" t="str" cm="1">
        <f t="array" ref="M561">_xlfn.IFS(AND(L561&gt;=31,L561&lt;=54),"Middle Age",L561&lt;31,"Adolescent",L561&gt;54,"Old")</f>
        <v>Old</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cm="1">
        <f t="array" ref="M562">_xlfn.IFS(AND(L562&gt;=31,L562&lt;=54),"Middle Age",L562&lt;31,"Adolescent",L562&gt;54,"Old")</f>
        <v>Middle Age</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cm="1">
        <f t="array" ref="M563">_xlfn.IFS(AND(L563&gt;=31,L563&lt;=54),"Middle Age",L563&lt;31,"Adolescent",L563&gt;54,"Old")</f>
        <v>Middle Age</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cm="1">
        <f t="array" ref="M564">_xlfn.IFS(AND(L564&gt;=31,L564&lt;=54),"Middle Age",L564&lt;31,"Adolescent",L564&gt;54,"Old")</f>
        <v>Middle Age</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cm="1">
        <f t="array" ref="M565">_xlfn.IFS(AND(L565&gt;=31,L565&lt;=54),"Middle Age",L565&lt;31,"Adolescent",L565&gt;54,"Old")</f>
        <v>Adolescent</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cm="1">
        <f t="array" ref="M566">_xlfn.IFS(AND(L566&gt;=31,L566&lt;=54),"Middle Age",L566&lt;31,"Adolescent",L566&gt;54,"Old")</f>
        <v>Adolescent</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cm="1">
        <f t="array" ref="M567">_xlfn.IFS(AND(L567&gt;=31,L567&lt;=54),"Middle Age",L567&lt;31,"Adolescent",L567&gt;54,"Old")</f>
        <v>Middle Age</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cm="1">
        <f t="array" ref="M568">_xlfn.IFS(AND(L568&gt;=31,L568&lt;=54),"Middle Age",L568&lt;31,"Adolescent",L568&gt;54,"Old")</f>
        <v>Old</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cm="1">
        <f t="array" ref="M569">_xlfn.IFS(AND(L569&gt;=31,L569&lt;=54),"Middle Age",L569&lt;31,"Adolescent",L569&gt;54,"Old")</f>
        <v>Middle Age</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cm="1">
        <f t="array" ref="M570">_xlfn.IFS(AND(L570&gt;=31,L570&lt;=54),"Middle Age",L570&lt;31,"Adolescent",L570&gt;54,"Old")</f>
        <v>Middle Age</v>
      </c>
      <c r="N570" t="s">
        <v>15</v>
      </c>
    </row>
    <row r="571" spans="1:14" x14ac:dyDescent="0.3">
      <c r="A571">
        <v>26452</v>
      </c>
      <c r="B571" t="s">
        <v>37</v>
      </c>
      <c r="C571" t="s">
        <v>39</v>
      </c>
      <c r="D571" s="3">
        <v>50000</v>
      </c>
      <c r="E571">
        <v>3</v>
      </c>
      <c r="F571" t="s">
        <v>31</v>
      </c>
      <c r="G571" t="s">
        <v>28</v>
      </c>
      <c r="H571" t="s">
        <v>15</v>
      </c>
      <c r="I571">
        <v>2</v>
      </c>
      <c r="J571" t="s">
        <v>46</v>
      </c>
      <c r="K571" t="s">
        <v>32</v>
      </c>
      <c r="L571">
        <v>69</v>
      </c>
      <c r="M571" t="str" cm="1">
        <f t="array" ref="M571">_xlfn.IFS(AND(L571&gt;=31,L571&lt;=54),"Middle Age",L571&lt;31,"Adolescent",L571&gt;54,"Old")</f>
        <v>Old</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cm="1">
        <f t="array" ref="M572">_xlfn.IFS(AND(L572&gt;=31,L572&lt;=54),"Middle Age",L572&lt;31,"Adolescent",L572&gt;54,"Old")</f>
        <v>Middle Age</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cm="1">
        <f t="array" ref="M573">_xlfn.IFS(AND(L573&gt;=31,L573&lt;=54),"Middle Age",L573&lt;31,"Adolescent",L573&gt;54,"Old")</f>
        <v>Old</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cm="1">
        <f t="array" ref="M574">_xlfn.IFS(AND(L574&gt;=31,L574&lt;=54),"Middle Age",L574&lt;31,"Adolescent",L574&gt;54,"Old")</f>
        <v>Adolescent</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cm="1">
        <f t="array" ref="M575">_xlfn.IFS(AND(L575&gt;=31,L575&lt;=54),"Middle Age",L575&lt;31,"Adolescent",L575&gt;54,"Old")</f>
        <v>Old</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cm="1">
        <f t="array" ref="M576">_xlfn.IFS(AND(L576&gt;=31,L576&lt;=54),"Middle Age",L576&lt;31,"Adolescent",L576&gt;54,"Old")</f>
        <v>Middle Age</v>
      </c>
      <c r="N576" t="s">
        <v>15</v>
      </c>
    </row>
    <row r="577" spans="1:14" x14ac:dyDescent="0.3">
      <c r="A577">
        <v>13388</v>
      </c>
      <c r="B577" t="s">
        <v>37</v>
      </c>
      <c r="C577" t="s">
        <v>39</v>
      </c>
      <c r="D577" s="3">
        <v>60000</v>
      </c>
      <c r="E577">
        <v>2</v>
      </c>
      <c r="F577" t="s">
        <v>19</v>
      </c>
      <c r="G577" t="s">
        <v>21</v>
      </c>
      <c r="H577" t="s">
        <v>15</v>
      </c>
      <c r="I577">
        <v>1</v>
      </c>
      <c r="J577" t="s">
        <v>46</v>
      </c>
      <c r="K577" t="s">
        <v>32</v>
      </c>
      <c r="L577">
        <v>56</v>
      </c>
      <c r="M577" t="str" cm="1">
        <f t="array" ref="M577">_xlfn.IFS(AND(L577&gt;=31,L577&lt;=54),"Middle Age",L577&lt;31,"Adolescent",L577&gt;54,"Old")</f>
        <v>Old</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cm="1">
        <f t="array" ref="M578">_xlfn.IFS(AND(L578&gt;=31,L578&lt;=54),"Middle Age",L578&lt;31,"Adolescent",L578&gt;54,"Old")</f>
        <v>Middle Age</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cm="1">
        <f t="array" ref="M579">_xlfn.IFS(AND(L579&gt;=31,L579&lt;=54),"Middle Age",L579&lt;31,"Adolescent",L579&gt;54,"Old")</f>
        <v>Middle Age</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cm="1">
        <f t="array" ref="M580">_xlfn.IFS(AND(L580&gt;=31,L580&lt;=54),"Middle Age",L580&lt;31,"Adolescent",L580&gt;54,"Old")</f>
        <v>Old</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cm="1">
        <f t="array" ref="M581">_xlfn.IFS(AND(L581&gt;=31,L581&lt;=54),"Middle Age",L581&lt;31,"Adolescent",L581&gt;54,"Old")</f>
        <v>Middle Age</v>
      </c>
      <c r="N581" t="s">
        <v>18</v>
      </c>
    </row>
    <row r="582" spans="1:14" x14ac:dyDescent="0.3">
      <c r="A582">
        <v>20380</v>
      </c>
      <c r="B582" t="s">
        <v>36</v>
      </c>
      <c r="C582" t="s">
        <v>38</v>
      </c>
      <c r="D582" s="3">
        <v>60000</v>
      </c>
      <c r="E582">
        <v>3</v>
      </c>
      <c r="F582" t="s">
        <v>31</v>
      </c>
      <c r="G582" t="s">
        <v>28</v>
      </c>
      <c r="H582" t="s">
        <v>15</v>
      </c>
      <c r="I582">
        <v>2</v>
      </c>
      <c r="J582" t="s">
        <v>46</v>
      </c>
      <c r="K582" t="s">
        <v>32</v>
      </c>
      <c r="L582">
        <v>69</v>
      </c>
      <c r="M582" t="str" cm="1">
        <f t="array" ref="M582">_xlfn.IFS(AND(L582&gt;=31,L582&lt;=54),"Middle Age",L582&lt;31,"Adolescent",L582&gt;54,"Old")</f>
        <v>Old</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cm="1">
        <f t="array" ref="M583">_xlfn.IFS(AND(L583&gt;=31,L583&lt;=54),"Middle Age",L583&lt;31,"Adolescent",L583&gt;54,"Old")</f>
        <v>Adolescent</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cm="1">
        <f t="array" ref="M584">_xlfn.IFS(AND(L584&gt;=31,L584&lt;=54),"Middle Age",L584&lt;31,"Adolescent",L584&gt;54,"Old")</f>
        <v>Middle Age</v>
      </c>
      <c r="N584" t="s">
        <v>18</v>
      </c>
    </row>
    <row r="585" spans="1:14" x14ac:dyDescent="0.3">
      <c r="A585">
        <v>24943</v>
      </c>
      <c r="B585" t="s">
        <v>36</v>
      </c>
      <c r="C585" t="s">
        <v>39</v>
      </c>
      <c r="D585" s="3">
        <v>60000</v>
      </c>
      <c r="E585">
        <v>3</v>
      </c>
      <c r="F585" t="s">
        <v>13</v>
      </c>
      <c r="G585" t="s">
        <v>28</v>
      </c>
      <c r="H585" t="s">
        <v>15</v>
      </c>
      <c r="I585">
        <v>2</v>
      </c>
      <c r="J585" t="s">
        <v>46</v>
      </c>
      <c r="K585" t="s">
        <v>32</v>
      </c>
      <c r="L585">
        <v>66</v>
      </c>
      <c r="M585" t="str" cm="1">
        <f t="array" ref="M585">_xlfn.IFS(AND(L585&gt;=31,L585&lt;=54),"Middle Age",L585&lt;31,"Adolescent",L585&gt;54,"Old")</f>
        <v>Old</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cm="1">
        <f t="array" ref="M586">_xlfn.IFS(AND(L586&gt;=31,L586&lt;=54),"Middle Age",L586&lt;31,"Adolescent",L586&gt;54,"Old")</f>
        <v>Middle Age</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cm="1">
        <f t="array" ref="M587">_xlfn.IFS(AND(L587&gt;=31,L587&lt;=54),"Middle Age",L587&lt;31,"Adolescent",L587&gt;54,"Old")</f>
        <v>Middle Age</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cm="1">
        <f t="array" ref="M588">_xlfn.IFS(AND(L588&gt;=31,L588&lt;=54),"Middle Age",L588&lt;31,"Adolescent",L588&gt;54,"Old")</f>
        <v>Middle Age</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cm="1">
        <f t="array" ref="M589">_xlfn.IFS(AND(L589&gt;=31,L589&lt;=54),"Middle Age",L589&lt;31,"Adolescent",L589&gt;54,"Old")</f>
        <v>Middle Age</v>
      </c>
      <c r="N589" t="s">
        <v>18</v>
      </c>
    </row>
    <row r="590" spans="1:14" x14ac:dyDescent="0.3">
      <c r="A590">
        <v>16871</v>
      </c>
      <c r="B590" t="s">
        <v>36</v>
      </c>
      <c r="C590" t="s">
        <v>38</v>
      </c>
      <c r="D590" s="3">
        <v>90000</v>
      </c>
      <c r="E590">
        <v>2</v>
      </c>
      <c r="F590" t="s">
        <v>27</v>
      </c>
      <c r="G590" t="s">
        <v>21</v>
      </c>
      <c r="H590" t="s">
        <v>15</v>
      </c>
      <c r="I590">
        <v>1</v>
      </c>
      <c r="J590" t="s">
        <v>46</v>
      </c>
      <c r="K590" t="s">
        <v>32</v>
      </c>
      <c r="L590">
        <v>51</v>
      </c>
      <c r="M590" t="str" cm="1">
        <f t="array" ref="M590">_xlfn.IFS(AND(L590&gt;=31,L590&lt;=54),"Middle Age",L590&lt;31,"Adolescent",L590&gt;54,"Old")</f>
        <v>Middle Age</v>
      </c>
      <c r="N590" t="s">
        <v>15</v>
      </c>
    </row>
    <row r="591" spans="1:14" x14ac:dyDescent="0.3">
      <c r="A591">
        <v>12100</v>
      </c>
      <c r="B591" t="s">
        <v>37</v>
      </c>
      <c r="C591" t="s">
        <v>39</v>
      </c>
      <c r="D591" s="3">
        <v>60000</v>
      </c>
      <c r="E591">
        <v>2</v>
      </c>
      <c r="F591" t="s">
        <v>13</v>
      </c>
      <c r="G591" t="s">
        <v>28</v>
      </c>
      <c r="H591" t="s">
        <v>15</v>
      </c>
      <c r="I591">
        <v>0</v>
      </c>
      <c r="J591" t="s">
        <v>46</v>
      </c>
      <c r="K591" t="s">
        <v>32</v>
      </c>
      <c r="L591">
        <v>57</v>
      </c>
      <c r="M591" t="str" cm="1">
        <f t="array" ref="M591">_xlfn.IFS(AND(L591&gt;=31,L591&lt;=54),"Middle Age",L591&lt;31,"Adolescent",L591&gt;54,"Old")</f>
        <v>Old</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cm="1">
        <f t="array" ref="M592">_xlfn.IFS(AND(L592&gt;=31,L592&lt;=54),"Middle Age",L592&lt;31,"Adolescent",L592&gt;54,"Old")</f>
        <v>Middle Age</v>
      </c>
      <c r="N592" t="s">
        <v>15</v>
      </c>
    </row>
    <row r="593" spans="1:14" x14ac:dyDescent="0.3">
      <c r="A593">
        <v>18545</v>
      </c>
      <c r="B593" t="s">
        <v>36</v>
      </c>
      <c r="C593" t="s">
        <v>39</v>
      </c>
      <c r="D593" s="3">
        <v>40000</v>
      </c>
      <c r="E593">
        <v>4</v>
      </c>
      <c r="F593" t="s">
        <v>27</v>
      </c>
      <c r="G593" t="s">
        <v>21</v>
      </c>
      <c r="H593" t="s">
        <v>18</v>
      </c>
      <c r="I593">
        <v>2</v>
      </c>
      <c r="J593" t="s">
        <v>46</v>
      </c>
      <c r="K593" t="s">
        <v>32</v>
      </c>
      <c r="L593">
        <v>61</v>
      </c>
      <c r="M593" t="str" cm="1">
        <f t="array" ref="M593">_xlfn.IFS(AND(L593&gt;=31,L593&lt;=54),"Middle Age",L593&lt;31,"Adolescent",L593&gt;54,"Old")</f>
        <v>Old</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cm="1">
        <f t="array" ref="M594">_xlfn.IFS(AND(L594&gt;=31,L594&lt;=54),"Middle Age",L594&lt;31,"Adolescent",L594&gt;54,"Old")</f>
        <v>Middle Age</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cm="1">
        <f t="array" ref="M595">_xlfn.IFS(AND(L595&gt;=31,L595&lt;=54),"Middle Age",L595&lt;31,"Adolescent",L595&gt;54,"Old")</f>
        <v>Middle Age</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cm="1">
        <f t="array" ref="M596">_xlfn.IFS(AND(L596&gt;=31,L596&lt;=54),"Middle Age",L596&lt;31,"Adolescent",L596&gt;54,"Old")</f>
        <v>Old</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cm="1">
        <f t="array" ref="M597">_xlfn.IFS(AND(L597&gt;=31,L597&lt;=54),"Middle Age",L597&lt;31,"Adolescent",L597&gt;54,"Old")</f>
        <v>Old</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cm="1">
        <f t="array" ref="M598">_xlfn.IFS(AND(L598&gt;=31,L598&lt;=54),"Middle Age",L598&lt;31,"Adolescent",L598&gt;54,"Old")</f>
        <v>Middle Age</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cm="1">
        <f t="array" ref="M599">_xlfn.IFS(AND(L599&gt;=31,L599&lt;=54),"Middle Age",L599&lt;31,"Adolescent",L599&gt;54,"Old")</f>
        <v>Old</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cm="1">
        <f t="array" ref="M600">_xlfn.IFS(AND(L600&gt;=31,L600&lt;=54),"Middle Age",L600&lt;31,"Adolescent",L600&gt;54,"Old")</f>
        <v>Middle Age</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cm="1">
        <f t="array" ref="M601">_xlfn.IFS(AND(L601&gt;=31,L601&lt;=54),"Middle Age",L601&lt;31,"Adolescent",L601&gt;54,"Old")</f>
        <v>Old</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cm="1">
        <f t="array" ref="M602">_xlfn.IFS(AND(L602&gt;=31,L602&lt;=54),"Middle Age",L602&lt;31,"Adolescent",L602&gt;54,"Old")</f>
        <v>Middle Age</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cm="1">
        <f t="array" ref="M603">_xlfn.IFS(AND(L603&gt;=31,L603&lt;=54),"Middle Age",L603&lt;31,"Adolescent",L603&gt;54,"Old")</f>
        <v>Middle Age</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cm="1">
        <f t="array" ref="M604">_xlfn.IFS(AND(L604&gt;=31,L604&lt;=54),"Middle Age",L604&lt;31,"Adolescent",L604&gt;54,"Old")</f>
        <v>Middle Age</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cm="1">
        <f t="array" ref="M605">_xlfn.IFS(AND(L605&gt;=31,L605&lt;=54),"Middle Age",L605&lt;31,"Adolescent",L605&gt;54,"Old")</f>
        <v>Middle Age</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cm="1">
        <f t="array" ref="M606">_xlfn.IFS(AND(L606&gt;=31,L606&lt;=54),"Middle Age",L606&lt;31,"Adolescent",L606&gt;54,"Old")</f>
        <v>Adolescent</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cm="1">
        <f t="array" ref="M607">_xlfn.IFS(AND(L607&gt;=31,L607&lt;=54),"Middle Age",L607&lt;31,"Adolescent",L607&gt;54,"Old")</f>
        <v>Middle Age</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cm="1">
        <f t="array" ref="M608">_xlfn.IFS(AND(L608&gt;=31,L608&lt;=54),"Middle Age",L608&lt;31,"Adolescent",L608&gt;54,"Old")</f>
        <v>Middle Age</v>
      </c>
      <c r="N608" t="s">
        <v>18</v>
      </c>
    </row>
    <row r="609" spans="1:14" x14ac:dyDescent="0.3">
      <c r="A609">
        <v>16145</v>
      </c>
      <c r="B609" t="s">
        <v>37</v>
      </c>
      <c r="C609" t="s">
        <v>38</v>
      </c>
      <c r="D609" s="3">
        <v>70000</v>
      </c>
      <c r="E609">
        <v>5</v>
      </c>
      <c r="F609" t="s">
        <v>31</v>
      </c>
      <c r="G609" t="s">
        <v>21</v>
      </c>
      <c r="H609" t="s">
        <v>15</v>
      </c>
      <c r="I609">
        <v>3</v>
      </c>
      <c r="J609" t="s">
        <v>46</v>
      </c>
      <c r="K609" t="s">
        <v>32</v>
      </c>
      <c r="L609">
        <v>46</v>
      </c>
      <c r="M609" t="str" cm="1">
        <f t="array" ref="M609">_xlfn.IFS(AND(L609&gt;=31,L609&lt;=54),"Middle Age",L609&lt;31,"Adolescent",L609&gt;54,"Old")</f>
        <v>Middle Age</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cm="1">
        <f t="array" ref="M610">_xlfn.IFS(AND(L610&gt;=31,L610&lt;=54),"Middle Age",L610&lt;31,"Adolescent",L610&gt;54,"Old")</f>
        <v>Middle Age</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cm="1">
        <f t="array" ref="M611">_xlfn.IFS(AND(L611&gt;=31,L611&lt;=54),"Middle Age",L611&lt;31,"Adolescent",L611&gt;54,"Old")</f>
        <v>Middle Age</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cm="1">
        <f t="array" ref="M612">_xlfn.IFS(AND(L612&gt;=31,L612&lt;=54),"Middle Age",L612&lt;31,"Adolescent",L612&gt;54,"Old")</f>
        <v>Middle Age</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cm="1">
        <f t="array" ref="M613">_xlfn.IFS(AND(L613&gt;=31,L613&lt;=54),"Middle Age",L613&lt;31,"Adolescent",L613&gt;54,"Old")</f>
        <v>Middle Age</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cm="1">
        <f t="array" ref="M614">_xlfn.IFS(AND(L614&gt;=31,L614&lt;=54),"Middle Age",L614&lt;31,"Adolescent",L614&gt;54,"Old")</f>
        <v>Adolescent</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cm="1">
        <f t="array" ref="M615">_xlfn.IFS(AND(L615&gt;=31,L615&lt;=54),"Middle Age",L615&lt;31,"Adolescent",L615&gt;54,"Old")</f>
        <v>Middle Age</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cm="1">
        <f t="array" ref="M616">_xlfn.IFS(AND(L616&gt;=31,L616&lt;=54),"Middle Age",L616&lt;31,"Adolescent",L616&gt;54,"Old")</f>
        <v>Middle Age</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cm="1">
        <f t="array" ref="M617">_xlfn.IFS(AND(L617&gt;=31,L617&lt;=54),"Middle Age",L617&lt;31,"Adolescent",L617&gt;54,"Old")</f>
        <v>Middle Age</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cm="1">
        <f t="array" ref="M618">_xlfn.IFS(AND(L618&gt;=31,L618&lt;=54),"Middle Age",L618&lt;31,"Adolescent",L618&gt;54,"Old")</f>
        <v>Middle Age</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cm="1">
        <f t="array" ref="M619">_xlfn.IFS(AND(L619&gt;=31,L619&lt;=54),"Middle Age",L619&lt;31,"Adolescent",L619&gt;54,"Old")</f>
        <v>Middle Age</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cm="1">
        <f t="array" ref="M620">_xlfn.IFS(AND(L620&gt;=31,L620&lt;=54),"Middle Age",L620&lt;31,"Adolescent",L620&gt;54,"Old")</f>
        <v>Middle Age</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cm="1">
        <f t="array" ref="M621">_xlfn.IFS(AND(L621&gt;=31,L621&lt;=54),"Middle Age",L621&lt;31,"Adolescent",L621&gt;54,"Old")</f>
        <v>Adolescent</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cm="1">
        <f t="array" ref="M622">_xlfn.IFS(AND(L622&gt;=31,L622&lt;=54),"Middle Age",L622&lt;31,"Adolescent",L622&gt;54,"Old")</f>
        <v>Middle Age</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cm="1">
        <f t="array" ref="M623">_xlfn.IFS(AND(L623&gt;=31,L623&lt;=54),"Middle Age",L623&lt;31,"Adolescent",L623&gt;54,"Old")</f>
        <v>Old</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cm="1">
        <f t="array" ref="M624">_xlfn.IFS(AND(L624&gt;=31,L624&lt;=54),"Middle Age",L624&lt;31,"Adolescent",L624&gt;54,"Old")</f>
        <v>Middle Age</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cm="1">
        <f t="array" ref="M625">_xlfn.IFS(AND(L625&gt;=31,L625&lt;=54),"Middle Age",L625&lt;31,"Adolescent",L625&gt;54,"Old")</f>
        <v>Old</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cm="1">
        <f t="array" ref="M626">_xlfn.IFS(AND(L626&gt;=31,L626&lt;=54),"Middle Age",L626&lt;31,"Adolescent",L626&gt;54,"Old")</f>
        <v>Adolescent</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cm="1">
        <f t="array" ref="M627">_xlfn.IFS(AND(L627&gt;=31,L627&lt;=54),"Middle Age",L627&lt;31,"Adolescent",L627&gt;54,"Old")</f>
        <v>Old</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cm="1">
        <f t="array" ref="M628">_xlfn.IFS(AND(L628&gt;=31,L628&lt;=54),"Middle Age",L628&lt;31,"Adolescent",L628&gt;54,"Old")</f>
        <v>Adolescent</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cm="1">
        <f t="array" ref="M629">_xlfn.IFS(AND(L629&gt;=31,L629&lt;=54),"Middle Age",L629&lt;31,"Adolescent",L629&gt;54,"Old")</f>
        <v>Old</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cm="1">
        <f t="array" ref="M630">_xlfn.IFS(AND(L630&gt;=31,L630&lt;=54),"Middle Age",L630&lt;31,"Adolescent",L630&gt;54,"Old")</f>
        <v>Middle Age</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cm="1">
        <f t="array" ref="M631">_xlfn.IFS(AND(L631&gt;=31,L631&lt;=54),"Middle Age",L631&lt;31,"Adolescent",L631&gt;54,"Old")</f>
        <v>Middle Age</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cm="1">
        <f t="array" ref="M632">_xlfn.IFS(AND(L632&gt;=31,L632&lt;=54),"Middle Age",L632&lt;31,"Adolescent",L632&gt;54,"Old")</f>
        <v>Adolescent</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cm="1">
        <f t="array" ref="M633">_xlfn.IFS(AND(L633&gt;=31,L633&lt;=54),"Middle Age",L633&lt;31,"Adolescent",L633&gt;54,"Old")</f>
        <v>Middle Age</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cm="1">
        <f t="array" ref="M634">_xlfn.IFS(AND(L634&gt;=31,L634&lt;=54),"Middle Age",L634&lt;31,"Adolescent",L634&gt;54,"Old")</f>
        <v>Middle Age</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cm="1">
        <f t="array" ref="M635">_xlfn.IFS(AND(L635&gt;=31,L635&lt;=54),"Middle Age",L635&lt;31,"Adolescent",L635&gt;54,"Old")</f>
        <v>Middle Age</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cm="1">
        <f t="array" ref="M636">_xlfn.IFS(AND(L636&gt;=31,L636&lt;=54),"Middle Age",L636&lt;31,"Adolescent",L636&gt;54,"Old")</f>
        <v>Old</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cm="1">
        <f t="array" ref="M637">_xlfn.IFS(AND(L637&gt;=31,L637&lt;=54),"Middle Age",L637&lt;31,"Adolescent",L637&gt;54,"Old")</f>
        <v>Middle Age</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cm="1">
        <f t="array" ref="M638">_xlfn.IFS(AND(L638&gt;=31,L638&lt;=54),"Middle Age",L638&lt;31,"Adolescent",L638&gt;54,"Old")</f>
        <v>Middle Age</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cm="1">
        <f t="array" ref="M639">_xlfn.IFS(AND(L639&gt;=31,L639&lt;=54),"Middle Age",L639&lt;31,"Adolescent",L639&gt;54,"Old")</f>
        <v>Adolescent</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cm="1">
        <f t="array" ref="M640">_xlfn.IFS(AND(L640&gt;=31,L640&lt;=54),"Middle Age",L640&lt;31,"Adolescent",L640&gt;54,"Old")</f>
        <v>Old</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cm="1">
        <f t="array" ref="M641">_xlfn.IFS(AND(L641&gt;=31,L641&lt;=54),"Middle Age",L641&lt;31,"Adolescent",L641&gt;54,"Old")</f>
        <v>Old</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cm="1">
        <f t="array" ref="M642">_xlfn.IFS(AND(L642&gt;=31,L642&lt;=54),"Middle Age",L642&lt;31,"Adolescent",L642&gt;54,"Old")</f>
        <v>Old</v>
      </c>
      <c r="N642" t="s">
        <v>15</v>
      </c>
    </row>
    <row r="643" spans="1:14" x14ac:dyDescent="0.3">
      <c r="A643">
        <v>21441</v>
      </c>
      <c r="B643" t="s">
        <v>36</v>
      </c>
      <c r="C643" t="s">
        <v>39</v>
      </c>
      <c r="D643" s="3">
        <v>50000</v>
      </c>
      <c r="E643">
        <v>4</v>
      </c>
      <c r="F643" t="s">
        <v>13</v>
      </c>
      <c r="G643" t="s">
        <v>28</v>
      </c>
      <c r="H643" t="s">
        <v>15</v>
      </c>
      <c r="I643">
        <v>2</v>
      </c>
      <c r="J643" t="s">
        <v>46</v>
      </c>
      <c r="K643" t="s">
        <v>32</v>
      </c>
      <c r="L643">
        <v>64</v>
      </c>
      <c r="M643" t="str" cm="1">
        <f t="array" ref="M643">_xlfn.IFS(AND(L643&gt;=31,L643&lt;=54),"Middle Age",L643&lt;31,"Adolescent",L643&gt;54,"Old")</f>
        <v>Old</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cm="1">
        <f t="array" ref="M644">_xlfn.IFS(AND(L644&gt;=31,L644&lt;=54),"Middle Age",L644&lt;31,"Adolescent",L644&gt;54,"Old")</f>
        <v>Middle Age</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cm="1">
        <f t="array" ref="M645">_xlfn.IFS(AND(L645&gt;=31,L645&lt;=54),"Middle Age",L645&lt;31,"Adolescent",L645&gt;54,"Old")</f>
        <v>Middle Age</v>
      </c>
      <c r="N645" t="s">
        <v>15</v>
      </c>
    </row>
    <row r="646" spans="1:14" x14ac:dyDescent="0.3">
      <c r="A646">
        <v>23368</v>
      </c>
      <c r="B646" t="s">
        <v>36</v>
      </c>
      <c r="C646" t="s">
        <v>38</v>
      </c>
      <c r="D646" s="3">
        <v>60000</v>
      </c>
      <c r="E646">
        <v>5</v>
      </c>
      <c r="F646" t="s">
        <v>13</v>
      </c>
      <c r="G646" t="s">
        <v>14</v>
      </c>
      <c r="H646" t="s">
        <v>15</v>
      </c>
      <c r="I646">
        <v>3</v>
      </c>
      <c r="J646" t="s">
        <v>46</v>
      </c>
      <c r="K646" t="s">
        <v>32</v>
      </c>
      <c r="L646">
        <v>41</v>
      </c>
      <c r="M646" t="str" cm="1">
        <f t="array" ref="M646">_xlfn.IFS(AND(L646&gt;=31,L646&lt;=54),"Middle Age",L646&lt;31,"Adolescent",L646&gt;54,"Old")</f>
        <v>Middle Age</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cm="1">
        <f t="array" ref="M647">_xlfn.IFS(AND(L647&gt;=31,L647&lt;=54),"Middle Age",L647&lt;31,"Adolescent",L647&gt;54,"Old")</f>
        <v>Middle Age</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cm="1">
        <f t="array" ref="M648">_xlfn.IFS(AND(L648&gt;=31,L648&lt;=54),"Middle Age",L648&lt;31,"Adolescent",L648&gt;54,"Old")</f>
        <v>Middle Age</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cm="1">
        <f t="array" ref="M649">_xlfn.IFS(AND(L649&gt;=31,L649&lt;=54),"Middle Age",L649&lt;31,"Adolescent",L649&gt;54,"Old")</f>
        <v>Middle Age</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cm="1">
        <f t="array" ref="M650">_xlfn.IFS(AND(L650&gt;=31,L650&lt;=54),"Middle Age",L650&lt;31,"Adolescent",L650&gt;54,"Old")</f>
        <v>Old</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cm="1">
        <f t="array" ref="M651">_xlfn.IFS(AND(L651&gt;=31,L651&lt;=54),"Middle Age",L651&lt;31,"Adolescent",L651&gt;54,"Old")</f>
        <v>Middle Age</v>
      </c>
      <c r="N651" t="s">
        <v>15</v>
      </c>
    </row>
    <row r="652" spans="1:14" x14ac:dyDescent="0.3">
      <c r="A652">
        <v>18435</v>
      </c>
      <c r="B652" t="s">
        <v>37</v>
      </c>
      <c r="C652" t="s">
        <v>38</v>
      </c>
      <c r="D652" s="3">
        <v>70000</v>
      </c>
      <c r="E652">
        <v>5</v>
      </c>
      <c r="F652" t="s">
        <v>31</v>
      </c>
      <c r="G652" t="s">
        <v>28</v>
      </c>
      <c r="H652" t="s">
        <v>15</v>
      </c>
      <c r="I652">
        <v>2</v>
      </c>
      <c r="J652" t="s">
        <v>46</v>
      </c>
      <c r="K652" t="s">
        <v>32</v>
      </c>
      <c r="L652">
        <v>67</v>
      </c>
      <c r="M652" t="str" cm="1">
        <f t="array" ref="M652">_xlfn.IFS(AND(L652&gt;=31,L652&lt;=54),"Middle Age",L652&lt;31,"Adolescent",L652&gt;54,"Old")</f>
        <v>Old</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cm="1">
        <f t="array" ref="M653">_xlfn.IFS(AND(L653&gt;=31,L653&lt;=54),"Middle Age",L653&lt;31,"Adolescent",L653&gt;54,"Old")</f>
        <v>Middle Age</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cm="1">
        <f t="array" ref="M654">_xlfn.IFS(AND(L654&gt;=31,L654&lt;=54),"Middle Age",L654&lt;31,"Adolescent",L654&gt;54,"Old")</f>
        <v>Middle Age</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cm="1">
        <f t="array" ref="M655">_xlfn.IFS(AND(L655&gt;=31,L655&lt;=54),"Middle Age",L655&lt;31,"Adolescent",L655&gt;54,"Old")</f>
        <v>Middle Age</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cm="1">
        <f t="array" ref="M656">_xlfn.IFS(AND(L656&gt;=31,L656&lt;=54),"Middle Age",L656&lt;31,"Adolescent",L656&gt;54,"Old")</f>
        <v>Middle Age</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cm="1">
        <f t="array" ref="M657">_xlfn.IFS(AND(L657&gt;=31,L657&lt;=54),"Middle Age",L657&lt;31,"Adolescent",L657&gt;54,"Old")</f>
        <v>Middle Age</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cm="1">
        <f t="array" ref="M658">_xlfn.IFS(AND(L658&gt;=31,L658&lt;=54),"Middle Age",L658&lt;31,"Adolescent",L658&gt;54,"Old")</f>
        <v>Middle Age</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cm="1">
        <f t="array" ref="M659">_xlfn.IFS(AND(L659&gt;=31,L659&lt;=54),"Middle Age",L659&lt;31,"Adolescent",L659&gt;54,"Old")</f>
        <v>Middle Age</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cm="1">
        <f t="array" ref="M660">_xlfn.IFS(AND(L660&gt;=31,L660&lt;=54),"Middle Age",L660&lt;31,"Adolescent",L660&gt;54,"Old")</f>
        <v>Middle Age</v>
      </c>
      <c r="N660" t="s">
        <v>15</v>
      </c>
    </row>
    <row r="661" spans="1:14" x14ac:dyDescent="0.3">
      <c r="A661">
        <v>24643</v>
      </c>
      <c r="B661" t="s">
        <v>37</v>
      </c>
      <c r="C661" t="s">
        <v>38</v>
      </c>
      <c r="D661" s="3">
        <v>60000</v>
      </c>
      <c r="E661">
        <v>4</v>
      </c>
      <c r="F661" t="s">
        <v>13</v>
      </c>
      <c r="G661" t="s">
        <v>28</v>
      </c>
      <c r="H661" t="s">
        <v>15</v>
      </c>
      <c r="I661">
        <v>2</v>
      </c>
      <c r="J661" t="s">
        <v>46</v>
      </c>
      <c r="K661" t="s">
        <v>32</v>
      </c>
      <c r="L661">
        <v>63</v>
      </c>
      <c r="M661" t="str" cm="1">
        <f t="array" ref="M661">_xlfn.IFS(AND(L661&gt;=31,L661&lt;=54),"Middle Age",L661&lt;31,"Adolescent",L661&gt;54,"Old")</f>
        <v>Old</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cm="1">
        <f t="array" ref="M662">_xlfn.IFS(AND(L662&gt;=31,L662&lt;=54),"Middle Age",L662&lt;31,"Adolescent",L662&gt;54,"Old")</f>
        <v>Middle Age</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cm="1">
        <f t="array" ref="M663">_xlfn.IFS(AND(L663&gt;=31,L663&lt;=54),"Middle Age",L663&lt;31,"Adolescent",L663&gt;54,"Old")</f>
        <v>Adolescent</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cm="1">
        <f t="array" ref="M664">_xlfn.IFS(AND(L664&gt;=31,L664&lt;=54),"Middle Age",L664&lt;31,"Adolescent",L664&gt;54,"Old")</f>
        <v>Middle Age</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cm="1">
        <f t="array" ref="M665">_xlfn.IFS(AND(L665&gt;=31,L665&lt;=54),"Middle Age",L665&lt;31,"Adolescent",L665&gt;54,"Old")</f>
        <v>Middle Age</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cm="1">
        <f t="array" ref="M666">_xlfn.IFS(AND(L666&gt;=31,L666&lt;=54),"Middle Age",L666&lt;31,"Adolescent",L666&gt;54,"Old")</f>
        <v>Middle Age</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cm="1">
        <f t="array" ref="M667">_xlfn.IFS(AND(L667&gt;=31,L667&lt;=54),"Middle Age",L667&lt;31,"Adolescent",L667&gt;54,"Old")</f>
        <v>Middle Age</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cm="1">
        <f t="array" ref="M668">_xlfn.IFS(AND(L668&gt;=31,L668&lt;=54),"Middle Age",L668&lt;31,"Adolescent",L668&gt;54,"Old")</f>
        <v>Middle Age</v>
      </c>
      <c r="N668" t="s">
        <v>15</v>
      </c>
    </row>
    <row r="669" spans="1:14" x14ac:dyDescent="0.3">
      <c r="A669">
        <v>20505</v>
      </c>
      <c r="B669" t="s">
        <v>36</v>
      </c>
      <c r="C669" t="s">
        <v>38</v>
      </c>
      <c r="D669" s="3">
        <v>40000</v>
      </c>
      <c r="E669">
        <v>5</v>
      </c>
      <c r="F669" t="s">
        <v>27</v>
      </c>
      <c r="G669" t="s">
        <v>21</v>
      </c>
      <c r="H669" t="s">
        <v>18</v>
      </c>
      <c r="I669">
        <v>2</v>
      </c>
      <c r="J669" t="s">
        <v>46</v>
      </c>
      <c r="K669" t="s">
        <v>32</v>
      </c>
      <c r="L669">
        <v>61</v>
      </c>
      <c r="M669" t="str" cm="1">
        <f t="array" ref="M669">_xlfn.IFS(AND(L669&gt;=31,L669&lt;=54),"Middle Age",L669&lt;31,"Adolescent",L669&gt;54,"Old")</f>
        <v>Old</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cm="1">
        <f t="array" ref="M670">_xlfn.IFS(AND(L670&gt;=31,L670&lt;=54),"Middle Age",L670&lt;31,"Adolescent",L670&gt;54,"Old")</f>
        <v>Middle Age</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cm="1">
        <f t="array" ref="M671">_xlfn.IFS(AND(L671&gt;=31,L671&lt;=54),"Middle Age",L671&lt;31,"Adolescent",L671&gt;54,"Old")</f>
        <v>Middle Age</v>
      </c>
      <c r="N671" t="s">
        <v>18</v>
      </c>
    </row>
    <row r="672" spans="1:14" x14ac:dyDescent="0.3">
      <c r="A672">
        <v>21471</v>
      </c>
      <c r="B672" t="s">
        <v>36</v>
      </c>
      <c r="C672" t="s">
        <v>39</v>
      </c>
      <c r="D672" s="3">
        <v>70000</v>
      </c>
      <c r="E672">
        <v>2</v>
      </c>
      <c r="F672" t="s">
        <v>19</v>
      </c>
      <c r="G672" t="s">
        <v>21</v>
      </c>
      <c r="H672" t="s">
        <v>15</v>
      </c>
      <c r="I672">
        <v>1</v>
      </c>
      <c r="J672" t="s">
        <v>46</v>
      </c>
      <c r="K672" t="s">
        <v>32</v>
      </c>
      <c r="L672">
        <v>59</v>
      </c>
      <c r="M672" t="str" cm="1">
        <f t="array" ref="M672">_xlfn.IFS(AND(L672&gt;=31,L672&lt;=54),"Middle Age",L672&lt;31,"Adolescent",L672&gt;54,"Old")</f>
        <v>Old</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cm="1">
        <f t="array" ref="M673">_xlfn.IFS(AND(L673&gt;=31,L673&lt;=54),"Middle Age",L673&lt;31,"Adolescent",L673&gt;54,"Old")</f>
        <v>Middle Age</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cm="1">
        <f t="array" ref="M674">_xlfn.IFS(AND(L674&gt;=31,L674&lt;=54),"Middle Age",L674&lt;31,"Adolescent",L674&gt;54,"Old")</f>
        <v>Adolescent</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cm="1">
        <f t="array" ref="M675">_xlfn.IFS(AND(L675&gt;=31,L675&lt;=54),"Middle Age",L675&lt;31,"Adolescent",L675&gt;54,"Old")</f>
        <v>Middle Age</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cm="1">
        <f t="array" ref="M676">_xlfn.IFS(AND(L676&gt;=31,L676&lt;=54),"Middle Age",L676&lt;31,"Adolescent",L676&gt;54,"Old")</f>
        <v>Middle Age</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cm="1">
        <f t="array" ref="M677">_xlfn.IFS(AND(L677&gt;=31,L677&lt;=54),"Middle Age",L677&lt;31,"Adolescent",L677&gt;54,"Old")</f>
        <v>Middle Age</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cm="1">
        <f t="array" ref="M678">_xlfn.IFS(AND(L678&gt;=31,L678&lt;=54),"Middle Age",L678&lt;31,"Adolescent",L678&gt;54,"Old")</f>
        <v>Middle Age</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cm="1">
        <f t="array" ref="M679">_xlfn.IFS(AND(L679&gt;=31,L679&lt;=54),"Middle Age",L679&lt;31,"Adolescent",L679&gt;54,"Old")</f>
        <v>Middle Age</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cm="1">
        <f t="array" ref="M680">_xlfn.IFS(AND(L680&gt;=31,L680&lt;=54),"Middle Age",L680&lt;31,"Adolescent",L680&gt;54,"Old")</f>
        <v>Old</v>
      </c>
      <c r="N680" t="s">
        <v>18</v>
      </c>
    </row>
    <row r="681" spans="1:14" x14ac:dyDescent="0.3">
      <c r="A681">
        <v>21770</v>
      </c>
      <c r="B681" t="s">
        <v>36</v>
      </c>
      <c r="C681" t="s">
        <v>39</v>
      </c>
      <c r="D681" s="3">
        <v>60000</v>
      </c>
      <c r="E681">
        <v>4</v>
      </c>
      <c r="F681" t="s">
        <v>13</v>
      </c>
      <c r="G681" t="s">
        <v>28</v>
      </c>
      <c r="H681" t="s">
        <v>15</v>
      </c>
      <c r="I681">
        <v>2</v>
      </c>
      <c r="J681" t="s">
        <v>46</v>
      </c>
      <c r="K681" t="s">
        <v>32</v>
      </c>
      <c r="L681">
        <v>60</v>
      </c>
      <c r="M681" t="str" cm="1">
        <f t="array" ref="M681">_xlfn.IFS(AND(L681&gt;=31,L681&lt;=54),"Middle Age",L681&lt;31,"Adolescent",L681&gt;54,"Old")</f>
        <v>Old</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cm="1">
        <f t="array" ref="M682">_xlfn.IFS(AND(L682&gt;=31,L682&lt;=54),"Middle Age",L682&lt;31,"Adolescent",L682&gt;54,"Old")</f>
        <v>Middle Age</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cm="1">
        <f t="array" ref="M683">_xlfn.IFS(AND(L683&gt;=31,L683&lt;=54),"Middle Age",L683&lt;31,"Adolescent",L683&gt;54,"Old")</f>
        <v>Middle Age</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cm="1">
        <f t="array" ref="M684">_xlfn.IFS(AND(L684&gt;=31,L684&lt;=54),"Middle Age",L684&lt;31,"Adolescent",L684&gt;54,"Old")</f>
        <v>Middle Age</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cm="1">
        <f t="array" ref="M685">_xlfn.IFS(AND(L685&gt;=31,L685&lt;=54),"Middle Age",L685&lt;31,"Adolescent",L685&gt;54,"Old")</f>
        <v>Middle Age</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cm="1">
        <f t="array" ref="M686">_xlfn.IFS(AND(L686&gt;=31,L686&lt;=54),"Middle Age",L686&lt;31,"Adolescent",L686&gt;54,"Old")</f>
        <v>Middle Age</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cm="1">
        <f t="array" ref="M687">_xlfn.IFS(AND(L687&gt;=31,L687&lt;=54),"Middle Age",L687&lt;31,"Adolescent",L687&gt;54,"Old")</f>
        <v>Middle Age</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cm="1">
        <f t="array" ref="M688">_xlfn.IFS(AND(L688&gt;=31,L688&lt;=54),"Middle Age",L688&lt;31,"Adolescent",L688&gt;54,"Old")</f>
        <v>Middle Age</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cm="1">
        <f t="array" ref="M689">_xlfn.IFS(AND(L689&gt;=31,L689&lt;=54),"Middle Age",L689&lt;31,"Adolescent",L689&gt;54,"Old")</f>
        <v>Adolescent</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cm="1">
        <f t="array" ref="M690">_xlfn.IFS(AND(L690&gt;=31,L690&lt;=54),"Middle Age",L690&lt;31,"Adolescent",L690&gt;54,"Old")</f>
        <v>Adolescent</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cm="1">
        <f t="array" ref="M691">_xlfn.IFS(AND(L691&gt;=31,L691&lt;=54),"Middle Age",L691&lt;31,"Adolescent",L691&gt;54,"Old")</f>
        <v>Adolescent</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cm="1">
        <f t="array" ref="M692">_xlfn.IFS(AND(L692&gt;=31,L692&lt;=54),"Middle Age",L692&lt;31,"Adolescent",L692&gt;54,"Old")</f>
        <v>Middle Age</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cm="1">
        <f t="array" ref="M693">_xlfn.IFS(AND(L693&gt;=31,L693&lt;=54),"Middle Age",L693&lt;31,"Adolescent",L693&gt;54,"Old")</f>
        <v>Middle Age</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cm="1">
        <f t="array" ref="M694">_xlfn.IFS(AND(L694&gt;=31,L694&lt;=54),"Middle Age",L694&lt;31,"Adolescent",L694&gt;54,"Old")</f>
        <v>Middle Age</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cm="1">
        <f t="array" ref="M695">_xlfn.IFS(AND(L695&gt;=31,L695&lt;=54),"Middle Age",L695&lt;31,"Adolescent",L695&gt;54,"Old")</f>
        <v>Middle Age</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cm="1">
        <f t="array" ref="M696">_xlfn.IFS(AND(L696&gt;=31,L696&lt;=54),"Middle Age",L696&lt;31,"Adolescent",L696&gt;54,"Old")</f>
        <v>Middle Age</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cm="1">
        <f t="array" ref="M697">_xlfn.IFS(AND(L697&gt;=31,L697&lt;=54),"Middle Age",L697&lt;31,"Adolescent",L697&gt;54,"Old")</f>
        <v>Middle Age</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cm="1">
        <f t="array" ref="M698">_xlfn.IFS(AND(L698&gt;=31,L698&lt;=54),"Middle Age",L698&lt;31,"Adolescent",L698&gt;54,"Old")</f>
        <v>Adolescent</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cm="1">
        <f t="array" ref="M699">_xlfn.IFS(AND(L699&gt;=31,L699&lt;=54),"Middle Age",L699&lt;31,"Adolescent",L699&gt;54,"Old")</f>
        <v>Adolescent</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cm="1">
        <f t="array" ref="M700">_xlfn.IFS(AND(L700&gt;=31,L700&lt;=54),"Middle Age",L700&lt;31,"Adolescent",L700&gt;54,"Old")</f>
        <v>Middle Age</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cm="1">
        <f t="array" ref="M701">_xlfn.IFS(AND(L701&gt;=31,L701&lt;=54),"Middle Age",L701&lt;31,"Adolescent",L701&gt;54,"Old")</f>
        <v>Middle Age</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cm="1">
        <f t="array" ref="M702">_xlfn.IFS(AND(L702&gt;=31,L702&lt;=54),"Middle Age",L702&lt;31,"Adolescent",L702&gt;54,"Old")</f>
        <v>Old</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cm="1">
        <f t="array" ref="M703">_xlfn.IFS(AND(L703&gt;=31,L703&lt;=54),"Middle Age",L703&lt;31,"Adolescent",L703&gt;54,"Old")</f>
        <v>Adolescent</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cm="1">
        <f t="array" ref="M704">_xlfn.IFS(AND(L704&gt;=31,L704&lt;=54),"Middle Age",L704&lt;31,"Adolescent",L704&gt;54,"Old")</f>
        <v>Middle Age</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cm="1">
        <f t="array" ref="M705">_xlfn.IFS(AND(L705&gt;=31,L705&lt;=54),"Middle Age",L705&lt;31,"Adolescent",L705&gt;54,"Old")</f>
        <v>Middle Age</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cm="1">
        <f t="array" ref="M706">_xlfn.IFS(AND(L706&gt;=31,L706&lt;=54),"Middle Age",L706&lt;31,"Adolescent",L706&gt;54,"Old")</f>
        <v>Middle Age</v>
      </c>
      <c r="N706" t="s">
        <v>15</v>
      </c>
    </row>
    <row r="707" spans="1:14" x14ac:dyDescent="0.3">
      <c r="A707">
        <v>11199</v>
      </c>
      <c r="B707" t="s">
        <v>36</v>
      </c>
      <c r="C707" t="s">
        <v>38</v>
      </c>
      <c r="D707" s="3">
        <v>70000</v>
      </c>
      <c r="E707">
        <v>4</v>
      </c>
      <c r="F707" t="s">
        <v>13</v>
      </c>
      <c r="G707" t="s">
        <v>28</v>
      </c>
      <c r="H707" t="s">
        <v>15</v>
      </c>
      <c r="I707">
        <v>1</v>
      </c>
      <c r="J707" t="s">
        <v>46</v>
      </c>
      <c r="K707" t="s">
        <v>32</v>
      </c>
      <c r="L707">
        <v>59</v>
      </c>
      <c r="M707" t="str" cm="1">
        <f t="array" ref="M707">_xlfn.IFS(AND(L707&gt;=31,L707&lt;=54),"Middle Age",L707&lt;31,"Adolescent",L707&gt;54,"Old")</f>
        <v>Old</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cm="1">
        <f t="array" ref="M708">_xlfn.IFS(AND(L708&gt;=31,L708&lt;=54),"Middle Age",L708&lt;31,"Adolescent",L708&gt;54,"Old")</f>
        <v>Middle Age</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cm="1">
        <f t="array" ref="M709">_xlfn.IFS(AND(L709&gt;=31,L709&lt;=54),"Middle Age",L709&lt;31,"Adolescent",L709&gt;54,"Old")</f>
        <v>Middle Age</v>
      </c>
      <c r="N709" t="s">
        <v>15</v>
      </c>
    </row>
    <row r="710" spans="1:14" x14ac:dyDescent="0.3">
      <c r="A710">
        <v>18069</v>
      </c>
      <c r="B710" t="s">
        <v>36</v>
      </c>
      <c r="C710" t="s">
        <v>39</v>
      </c>
      <c r="D710" s="3">
        <v>70000</v>
      </c>
      <c r="E710">
        <v>5</v>
      </c>
      <c r="F710" t="s">
        <v>13</v>
      </c>
      <c r="G710" t="s">
        <v>28</v>
      </c>
      <c r="H710" t="s">
        <v>15</v>
      </c>
      <c r="I710">
        <v>4</v>
      </c>
      <c r="J710" t="s">
        <v>46</v>
      </c>
      <c r="K710" t="s">
        <v>32</v>
      </c>
      <c r="L710">
        <v>60</v>
      </c>
      <c r="M710" t="str" cm="1">
        <f t="array" ref="M710">_xlfn.IFS(AND(L710&gt;=31,L710&lt;=54),"Middle Age",L710&lt;31,"Adolescent",L710&gt;54,"Old")</f>
        <v>Old</v>
      </c>
      <c r="N710" t="s">
        <v>18</v>
      </c>
    </row>
    <row r="711" spans="1:14" x14ac:dyDescent="0.3">
      <c r="A711">
        <v>23712</v>
      </c>
      <c r="B711" t="s">
        <v>37</v>
      </c>
      <c r="C711" t="s">
        <v>38</v>
      </c>
      <c r="D711" s="3">
        <v>70000</v>
      </c>
      <c r="E711">
        <v>2</v>
      </c>
      <c r="F711" t="s">
        <v>13</v>
      </c>
      <c r="G711" t="s">
        <v>28</v>
      </c>
      <c r="H711" t="s">
        <v>15</v>
      </c>
      <c r="I711">
        <v>1</v>
      </c>
      <c r="J711" t="s">
        <v>46</v>
      </c>
      <c r="K711" t="s">
        <v>32</v>
      </c>
      <c r="L711">
        <v>59</v>
      </c>
      <c r="M711" t="str" cm="1">
        <f t="array" ref="M711">_xlfn.IFS(AND(L711&gt;=31,L711&lt;=54),"Middle Age",L711&lt;31,"Adolescent",L711&gt;54,"Old")</f>
        <v>Old</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cm="1">
        <f t="array" ref="M712">_xlfn.IFS(AND(L712&gt;=31,L712&lt;=54),"Middle Age",L712&lt;31,"Adolescent",L712&gt;54,"Old")</f>
        <v>Middle Age</v>
      </c>
      <c r="N712" t="s">
        <v>15</v>
      </c>
    </row>
    <row r="713" spans="1:14" x14ac:dyDescent="0.3">
      <c r="A713">
        <v>20518</v>
      </c>
      <c r="B713" t="s">
        <v>36</v>
      </c>
      <c r="C713" t="s">
        <v>38</v>
      </c>
      <c r="D713" s="3">
        <v>70000</v>
      </c>
      <c r="E713">
        <v>2</v>
      </c>
      <c r="F713" t="s">
        <v>19</v>
      </c>
      <c r="G713" t="s">
        <v>21</v>
      </c>
      <c r="H713" t="s">
        <v>15</v>
      </c>
      <c r="I713">
        <v>1</v>
      </c>
      <c r="J713" t="s">
        <v>46</v>
      </c>
      <c r="K713" t="s">
        <v>32</v>
      </c>
      <c r="L713">
        <v>58</v>
      </c>
      <c r="M713" t="str" cm="1">
        <f t="array" ref="M713">_xlfn.IFS(AND(L713&gt;=31,L713&lt;=54),"Middle Age",L713&lt;31,"Adolescent",L713&gt;54,"Old")</f>
        <v>Old</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cm="1">
        <f t="array" ref="M714">_xlfn.IFS(AND(L714&gt;=31,L714&lt;=54),"Middle Age",L714&lt;31,"Adolescent",L714&gt;54,"Old")</f>
        <v>Old</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cm="1">
        <f t="array" ref="M715">_xlfn.IFS(AND(L715&gt;=31,L715&lt;=54),"Middle Age",L715&lt;31,"Adolescent",L715&gt;54,"Old")</f>
        <v>Middle Age</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cm="1">
        <f t="array" ref="M716">_xlfn.IFS(AND(L716&gt;=31,L716&lt;=54),"Middle Age",L716&lt;31,"Adolescent",L716&gt;54,"Old")</f>
        <v>Adolescent</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cm="1">
        <f t="array" ref="M717">_xlfn.IFS(AND(L717&gt;=31,L717&lt;=54),"Middle Age",L717&lt;31,"Adolescent",L717&gt;54,"Old")</f>
        <v>Middle Age</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cm="1">
        <f t="array" ref="M718">_xlfn.IFS(AND(L718&gt;=31,L718&lt;=54),"Middle Age",L718&lt;31,"Adolescent",L718&gt;54,"Old")</f>
        <v>Middle Age</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cm="1">
        <f t="array" ref="M719">_xlfn.IFS(AND(L719&gt;=31,L719&lt;=54),"Middle Age",L719&lt;31,"Adolescent",L719&gt;54,"Old")</f>
        <v>Middle Age</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cm="1">
        <f t="array" ref="M720">_xlfn.IFS(AND(L720&gt;=31,L720&lt;=54),"Middle Age",L720&lt;31,"Adolescent",L720&gt;54,"Old")</f>
        <v>Middle Age</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cm="1">
        <f t="array" ref="M721">_xlfn.IFS(AND(L721&gt;=31,L721&lt;=54),"Middle Age",L721&lt;31,"Adolescent",L721&gt;54,"Old")</f>
        <v>Middle Age</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cm="1">
        <f t="array" ref="M722">_xlfn.IFS(AND(L722&gt;=31,L722&lt;=54),"Middle Age",L722&lt;31,"Adolescent",L722&gt;54,"Old")</f>
        <v>Old</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cm="1">
        <f t="array" ref="M723">_xlfn.IFS(AND(L723&gt;=31,L723&lt;=54),"Middle Age",L723&lt;31,"Adolescent",L723&gt;54,"Old")</f>
        <v>Middle Age</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cm="1">
        <f t="array" ref="M724">_xlfn.IFS(AND(L724&gt;=31,L724&lt;=54),"Middle Age",L724&lt;31,"Adolescent",L724&gt;54,"Old")</f>
        <v>Middle Age</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cm="1">
        <f t="array" ref="M725">_xlfn.IFS(AND(L725&gt;=31,L725&lt;=54),"Middle Age",L725&lt;31,"Adolescent",L725&gt;54,"Old")</f>
        <v>Middle Age</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cm="1">
        <f t="array" ref="M726">_xlfn.IFS(AND(L726&gt;=31,L726&lt;=54),"Middle Age",L726&lt;31,"Adolescent",L726&gt;54,"Old")</f>
        <v>Middle Age</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cm="1">
        <f t="array" ref="M727">_xlfn.IFS(AND(L727&gt;=31,L727&lt;=54),"Middle Age",L727&lt;31,"Adolescent",L727&gt;54,"Old")</f>
        <v>Middle Age</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cm="1">
        <f t="array" ref="M728">_xlfn.IFS(AND(L728&gt;=31,L728&lt;=54),"Middle Age",L728&lt;31,"Adolescent",L728&gt;54,"Old")</f>
        <v>Middle Age</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cm="1">
        <f t="array" ref="M729">_xlfn.IFS(AND(L729&gt;=31,L729&lt;=54),"Middle Age",L729&lt;31,"Adolescent",L729&gt;54,"Old")</f>
        <v>Middle Age</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cm="1">
        <f t="array" ref="M730">_xlfn.IFS(AND(L730&gt;=31,L730&lt;=54),"Middle Age",L730&lt;31,"Adolescent",L730&gt;54,"Old")</f>
        <v>Adolescent</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cm="1">
        <f t="array" ref="M731">_xlfn.IFS(AND(L731&gt;=31,L731&lt;=54),"Middle Age",L731&lt;31,"Adolescent",L731&gt;54,"Old")</f>
        <v>Middle Age</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cm="1">
        <f t="array" ref="M732">_xlfn.IFS(AND(L732&gt;=31,L732&lt;=54),"Middle Age",L732&lt;31,"Adolescent",L732&gt;54,"Old")</f>
        <v>Middle Age</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cm="1">
        <f t="array" ref="M733">_xlfn.IFS(AND(L733&gt;=31,L733&lt;=54),"Middle Age",L733&lt;31,"Adolescent",L733&gt;54,"Old")</f>
        <v>Middle Age</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cm="1">
        <f t="array" ref="M734">_xlfn.IFS(AND(L734&gt;=31,L734&lt;=54),"Middle Age",L734&lt;31,"Adolescent",L734&gt;54,"Old")</f>
        <v>Middle Age</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cm="1">
        <f t="array" ref="M735">_xlfn.IFS(AND(L735&gt;=31,L735&lt;=54),"Middle Age",L735&lt;31,"Adolescent",L735&gt;54,"Old")</f>
        <v>Middle Age</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cm="1">
        <f t="array" ref="M736">_xlfn.IFS(AND(L736&gt;=31,L736&lt;=54),"Middle Age",L736&lt;31,"Adolescent",L736&gt;54,"Old")</f>
        <v>Middle Age</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cm="1">
        <f t="array" ref="M737">_xlfn.IFS(AND(L737&gt;=31,L737&lt;=54),"Middle Age",L737&lt;31,"Adolescent",L737&gt;54,"Old")</f>
        <v>Adolescent</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cm="1">
        <f t="array" ref="M738">_xlfn.IFS(AND(L738&gt;=31,L738&lt;=54),"Middle Age",L738&lt;31,"Adolescent",L738&gt;54,"Old")</f>
        <v>Middle Age</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cm="1">
        <f t="array" ref="M739">_xlfn.IFS(AND(L739&gt;=31,L739&lt;=54),"Middle Age",L739&lt;31,"Adolescent",L739&gt;54,"Old")</f>
        <v>Middle Age</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cm="1">
        <f t="array" ref="M740">_xlfn.IFS(AND(L740&gt;=31,L740&lt;=54),"Middle Age",L740&lt;31,"Adolescent",L740&gt;54,"Old")</f>
        <v>Middle Age</v>
      </c>
      <c r="N740" t="s">
        <v>15</v>
      </c>
    </row>
    <row r="741" spans="1:14" x14ac:dyDescent="0.3">
      <c r="A741">
        <v>11225</v>
      </c>
      <c r="B741" t="s">
        <v>36</v>
      </c>
      <c r="C741" t="s">
        <v>38</v>
      </c>
      <c r="D741" s="3">
        <v>60000</v>
      </c>
      <c r="E741">
        <v>2</v>
      </c>
      <c r="F741" t="s">
        <v>19</v>
      </c>
      <c r="G741" t="s">
        <v>21</v>
      </c>
      <c r="H741" t="s">
        <v>15</v>
      </c>
      <c r="I741">
        <v>1</v>
      </c>
      <c r="J741" t="s">
        <v>46</v>
      </c>
      <c r="K741" t="s">
        <v>32</v>
      </c>
      <c r="L741">
        <v>55</v>
      </c>
      <c r="M741" t="str" cm="1">
        <f t="array" ref="M741">_xlfn.IFS(AND(L741&gt;=31,L741&lt;=54),"Middle Age",L741&lt;31,"Adolescent",L741&gt;54,"Old")</f>
        <v>Old</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cm="1">
        <f t="array" ref="M742">_xlfn.IFS(AND(L742&gt;=31,L742&lt;=54),"Middle Age",L742&lt;31,"Adolescent",L742&gt;54,"Old")</f>
        <v>Adolescent</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cm="1">
        <f t="array" ref="M743">_xlfn.IFS(AND(L743&gt;=31,L743&lt;=54),"Middle Age",L743&lt;31,"Adolescent",L743&gt;54,"Old")</f>
        <v>Middle Age</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cm="1">
        <f t="array" ref="M744">_xlfn.IFS(AND(L744&gt;=31,L744&lt;=54),"Middle Age",L744&lt;31,"Adolescent",L744&gt;54,"Old")</f>
        <v>Adolescent</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cm="1">
        <f t="array" ref="M745">_xlfn.IFS(AND(L745&gt;=31,L745&lt;=54),"Middle Age",L745&lt;31,"Adolescent",L745&gt;54,"Old")</f>
        <v>Middle Age</v>
      </c>
      <c r="N745" t="s">
        <v>18</v>
      </c>
    </row>
    <row r="746" spans="1:14" x14ac:dyDescent="0.3">
      <c r="A746">
        <v>20535</v>
      </c>
      <c r="B746" t="s">
        <v>36</v>
      </c>
      <c r="C746" t="s">
        <v>38</v>
      </c>
      <c r="D746" s="3">
        <v>70000</v>
      </c>
      <c r="E746">
        <v>4</v>
      </c>
      <c r="F746" t="s">
        <v>19</v>
      </c>
      <c r="G746" t="s">
        <v>21</v>
      </c>
      <c r="H746" t="s">
        <v>15</v>
      </c>
      <c r="I746">
        <v>1</v>
      </c>
      <c r="J746" t="s">
        <v>46</v>
      </c>
      <c r="K746" t="s">
        <v>32</v>
      </c>
      <c r="L746">
        <v>56</v>
      </c>
      <c r="M746" t="str" cm="1">
        <f t="array" ref="M746">_xlfn.IFS(AND(L746&gt;=31,L746&lt;=54),"Middle Age",L746&lt;31,"Adolescent",L746&gt;54,"Old")</f>
        <v>Old</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cm="1">
        <f t="array" ref="M747">_xlfn.IFS(AND(L747&gt;=31,L747&lt;=54),"Middle Age",L747&lt;31,"Adolescent",L747&gt;54,"Old")</f>
        <v>Middle Age</v>
      </c>
      <c r="N747" t="s">
        <v>15</v>
      </c>
    </row>
    <row r="748" spans="1:14" x14ac:dyDescent="0.3">
      <c r="A748">
        <v>28043</v>
      </c>
      <c r="B748" t="s">
        <v>36</v>
      </c>
      <c r="C748" t="s">
        <v>38</v>
      </c>
      <c r="D748" s="3">
        <v>60000</v>
      </c>
      <c r="E748">
        <v>2</v>
      </c>
      <c r="F748" t="s">
        <v>13</v>
      </c>
      <c r="G748" t="s">
        <v>28</v>
      </c>
      <c r="H748" t="s">
        <v>15</v>
      </c>
      <c r="I748">
        <v>0</v>
      </c>
      <c r="J748" t="s">
        <v>46</v>
      </c>
      <c r="K748" t="s">
        <v>32</v>
      </c>
      <c r="L748">
        <v>56</v>
      </c>
      <c r="M748" t="str" cm="1">
        <f t="array" ref="M748">_xlfn.IFS(AND(L748&gt;=31,L748&lt;=54),"Middle Age",L748&lt;31,"Adolescent",L748&gt;54,"Old")</f>
        <v>Old</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cm="1">
        <f t="array" ref="M749">_xlfn.IFS(AND(L749&gt;=31,L749&lt;=54),"Middle Age",L749&lt;31,"Adolescent",L749&gt;54,"Old")</f>
        <v>Middle Age</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cm="1">
        <f t="array" ref="M750">_xlfn.IFS(AND(L750&gt;=31,L750&lt;=54),"Middle Age",L750&lt;31,"Adolescent",L750&gt;54,"Old")</f>
        <v>Old</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cm="1">
        <f t="array" ref="M751">_xlfn.IFS(AND(L751&gt;=31,L751&lt;=54),"Middle Age",L751&lt;31,"Adolescent",L751&gt;54,"Old")</f>
        <v>Old</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cm="1">
        <f t="array" ref="M752">_xlfn.IFS(AND(L752&gt;=31,L752&lt;=54),"Middle Age",L752&lt;31,"Adolescent",L752&gt;54,"Old")</f>
        <v>Middle Age</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cm="1">
        <f t="array" ref="M753">_xlfn.IFS(AND(L753&gt;=31,L753&lt;=54),"Middle Age",L753&lt;31,"Adolescent",L753&gt;54,"Old")</f>
        <v>Middle Age</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cm="1">
        <f t="array" ref="M754">_xlfn.IFS(AND(L754&gt;=31,L754&lt;=54),"Middle Age",L754&lt;31,"Adolescent",L754&gt;54,"Old")</f>
        <v>Middle Age</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cm="1">
        <f t="array" ref="M755">_xlfn.IFS(AND(L755&gt;=31,L755&lt;=54),"Middle Age",L755&lt;31,"Adolescent",L755&gt;54,"Old")</f>
        <v>Adolescent</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cm="1">
        <f t="array" ref="M756">_xlfn.IFS(AND(L756&gt;=31,L756&lt;=54),"Middle Age",L756&lt;31,"Adolescent",L756&gt;54,"Old")</f>
        <v>Old</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cm="1">
        <f t="array" ref="M757">_xlfn.IFS(AND(L757&gt;=31,L757&lt;=54),"Middle Age",L757&lt;31,"Adolescent",L757&gt;54,"Old")</f>
        <v>Middle Age</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cm="1">
        <f t="array" ref="M758">_xlfn.IFS(AND(L758&gt;=31,L758&lt;=54),"Middle Age",L758&lt;31,"Adolescent",L758&gt;54,"Old")</f>
        <v>Middle Age</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cm="1">
        <f t="array" ref="M759">_xlfn.IFS(AND(L759&gt;=31,L759&lt;=54),"Middle Age",L759&lt;31,"Adolescent",L759&gt;54,"Old")</f>
        <v>Middle Age</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cm="1">
        <f t="array" ref="M760">_xlfn.IFS(AND(L760&gt;=31,L760&lt;=54),"Middle Age",L760&lt;31,"Adolescent",L760&gt;54,"Old")</f>
        <v>Middle Age</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cm="1">
        <f t="array" ref="M761">_xlfn.IFS(AND(L761&gt;=31,L761&lt;=54),"Middle Age",L761&lt;31,"Adolescent",L761&gt;54,"Old")</f>
        <v>Middle Age</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cm="1">
        <f t="array" ref="M762">_xlfn.IFS(AND(L762&gt;=31,L762&lt;=54),"Middle Age",L762&lt;31,"Adolescent",L762&gt;54,"Old")</f>
        <v>Middle Age</v>
      </c>
      <c r="N762" t="s">
        <v>18</v>
      </c>
    </row>
    <row r="763" spans="1:14" x14ac:dyDescent="0.3">
      <c r="A763">
        <v>13216</v>
      </c>
      <c r="B763" t="s">
        <v>36</v>
      </c>
      <c r="C763" t="s">
        <v>38</v>
      </c>
      <c r="D763" s="3">
        <v>60000</v>
      </c>
      <c r="E763">
        <v>5</v>
      </c>
      <c r="F763" t="s">
        <v>13</v>
      </c>
      <c r="G763" t="s">
        <v>28</v>
      </c>
      <c r="H763" t="s">
        <v>15</v>
      </c>
      <c r="I763">
        <v>3</v>
      </c>
      <c r="J763" t="s">
        <v>46</v>
      </c>
      <c r="K763" t="s">
        <v>32</v>
      </c>
      <c r="L763">
        <v>59</v>
      </c>
      <c r="M763" t="str" cm="1">
        <f t="array" ref="M763">_xlfn.IFS(AND(L763&gt;=31,L763&lt;=54),"Middle Age",L763&lt;31,"Adolescent",L763&gt;54,"Old")</f>
        <v>Old</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cm="1">
        <f t="array" ref="M764">_xlfn.IFS(AND(L764&gt;=31,L764&lt;=54),"Middle Age",L764&lt;31,"Adolescent",L764&gt;54,"Old")</f>
        <v>Middle Age</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cm="1">
        <f t="array" ref="M765">_xlfn.IFS(AND(L765&gt;=31,L765&lt;=54),"Middle Age",L765&lt;31,"Adolescent",L765&gt;54,"Old")</f>
        <v>Middle Age</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cm="1">
        <f t="array" ref="M766">_xlfn.IFS(AND(L766&gt;=31,L766&lt;=54),"Middle Age",L766&lt;31,"Adolescent",L766&gt;54,"Old")</f>
        <v>Adolescent</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cm="1">
        <f t="array" ref="M767">_xlfn.IFS(AND(L767&gt;=31,L767&lt;=54),"Middle Age",L767&lt;31,"Adolescent",L767&gt;54,"Old")</f>
        <v>Middle Age</v>
      </c>
      <c r="N767" t="s">
        <v>15</v>
      </c>
    </row>
    <row r="768" spans="1:14" x14ac:dyDescent="0.3">
      <c r="A768">
        <v>14608</v>
      </c>
      <c r="B768" t="s">
        <v>36</v>
      </c>
      <c r="C768" t="s">
        <v>39</v>
      </c>
      <c r="D768" s="3">
        <v>50000</v>
      </c>
      <c r="E768">
        <v>4</v>
      </c>
      <c r="F768" t="s">
        <v>13</v>
      </c>
      <c r="G768" t="s">
        <v>14</v>
      </c>
      <c r="H768" t="s">
        <v>15</v>
      </c>
      <c r="I768">
        <v>3</v>
      </c>
      <c r="J768" t="s">
        <v>46</v>
      </c>
      <c r="K768" t="s">
        <v>32</v>
      </c>
      <c r="L768">
        <v>42</v>
      </c>
      <c r="M768" t="str" cm="1">
        <f t="array" ref="M768">_xlfn.IFS(AND(L768&gt;=31,L768&lt;=54),"Middle Age",L768&lt;31,"Adolescent",L768&gt;54,"Old")</f>
        <v>Middle Age</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cm="1">
        <f t="array" ref="M769">_xlfn.IFS(AND(L769&gt;=31,L769&lt;=54),"Middle Age",L769&lt;31,"Adolescent",L769&gt;54,"Old")</f>
        <v>Old</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cm="1">
        <f t="array" ref="M770">_xlfn.IFS(AND(L770&gt;=31,L770&lt;=54),"Middle Age",L770&lt;31,"Adolescent",L770&gt;54,"Old")</f>
        <v>Middle Age</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cm="1">
        <f t="array" ref="M771">_xlfn.IFS(AND(L771&gt;=31,L771&lt;=54),"Middle Age",L771&lt;31,"Adolescent",L771&gt;54,"Old")</f>
        <v>Middle Age</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cm="1">
        <f t="array" ref="M772">_xlfn.IFS(AND(L772&gt;=31,L772&lt;=54),"Middle Age",L772&lt;31,"Adolescent",L772&gt;54,"Old")</f>
        <v>Old</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cm="1">
        <f t="array" ref="M773">_xlfn.IFS(AND(L773&gt;=31,L773&lt;=54),"Middle Age",L773&lt;31,"Adolescent",L773&gt;54,"Old")</f>
        <v>Middle Age</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cm="1">
        <f t="array" ref="M774">_xlfn.IFS(AND(L774&gt;=31,L774&lt;=54),"Middle Age",L774&lt;31,"Adolescent",L774&gt;54,"Old")</f>
        <v>Middle Age</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cm="1">
        <f t="array" ref="M775">_xlfn.IFS(AND(L775&gt;=31,L775&lt;=54),"Middle Age",L775&lt;31,"Adolescent",L775&gt;54,"Old")</f>
        <v>Middle Age</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cm="1">
        <f t="array" ref="M776">_xlfn.IFS(AND(L776&gt;=31,L776&lt;=54),"Middle Age",L776&lt;31,"Adolescent",L776&gt;54,"Old")</f>
        <v>Middle Age</v>
      </c>
      <c r="N776" t="s">
        <v>15</v>
      </c>
    </row>
    <row r="777" spans="1:14" x14ac:dyDescent="0.3">
      <c r="A777">
        <v>29030</v>
      </c>
      <c r="B777" t="s">
        <v>36</v>
      </c>
      <c r="C777" t="s">
        <v>39</v>
      </c>
      <c r="D777" s="3">
        <v>70000</v>
      </c>
      <c r="E777">
        <v>2</v>
      </c>
      <c r="F777" t="s">
        <v>29</v>
      </c>
      <c r="G777" t="s">
        <v>14</v>
      </c>
      <c r="H777" t="s">
        <v>15</v>
      </c>
      <c r="I777">
        <v>2</v>
      </c>
      <c r="J777" t="s">
        <v>46</v>
      </c>
      <c r="K777" t="s">
        <v>32</v>
      </c>
      <c r="L777">
        <v>54</v>
      </c>
      <c r="M777" t="str" cm="1">
        <f t="array" ref="M777">_xlfn.IFS(AND(L777&gt;=31,L777&lt;=54),"Middle Age",L777&lt;31,"Adolescent",L777&gt;54,"Old")</f>
        <v>Middle Age</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cm="1">
        <f t="array" ref="M778">_xlfn.IFS(AND(L778&gt;=31,L778&lt;=54),"Middle Age",L778&lt;31,"Adolescent",L778&gt;54,"Old")</f>
        <v>Old</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cm="1">
        <f t="array" ref="M779">_xlfn.IFS(AND(L779&gt;=31,L779&lt;=54),"Middle Age",L779&lt;31,"Adolescent",L779&gt;54,"Old")</f>
        <v>Adolescent</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cm="1">
        <f t="array" ref="M780">_xlfn.IFS(AND(L780&gt;=31,L780&lt;=54),"Middle Age",L780&lt;31,"Adolescent",L780&gt;54,"Old")</f>
        <v>Middle Age</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cm="1">
        <f t="array" ref="M781">_xlfn.IFS(AND(L781&gt;=31,L781&lt;=54),"Middle Age",L781&lt;31,"Adolescent",L781&gt;54,"Old")</f>
        <v>Middle Age</v>
      </c>
      <c r="N781" t="s">
        <v>15</v>
      </c>
    </row>
    <row r="782" spans="1:14" x14ac:dyDescent="0.3">
      <c r="A782">
        <v>18105</v>
      </c>
      <c r="B782" t="s">
        <v>36</v>
      </c>
      <c r="C782" t="s">
        <v>38</v>
      </c>
      <c r="D782" s="3">
        <v>60000</v>
      </c>
      <c r="E782">
        <v>2</v>
      </c>
      <c r="F782" t="s">
        <v>19</v>
      </c>
      <c r="G782" t="s">
        <v>21</v>
      </c>
      <c r="H782" t="s">
        <v>15</v>
      </c>
      <c r="I782">
        <v>1</v>
      </c>
      <c r="J782" t="s">
        <v>46</v>
      </c>
      <c r="K782" t="s">
        <v>32</v>
      </c>
      <c r="L782">
        <v>55</v>
      </c>
      <c r="M782" t="str" cm="1">
        <f t="array" ref="M782">_xlfn.IFS(AND(L782&gt;=31,L782&lt;=54),"Middle Age",L782&lt;31,"Adolescent",L782&gt;54,"Old")</f>
        <v>Old</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cm="1">
        <f t="array" ref="M783">_xlfn.IFS(AND(L783&gt;=31,L783&lt;=54),"Middle Age",L783&lt;31,"Adolescent",L783&gt;54,"Old")</f>
        <v>Middle Age</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cm="1">
        <f t="array" ref="M784">_xlfn.IFS(AND(L784&gt;=31,L784&lt;=54),"Middle Age",L784&lt;31,"Adolescent",L784&gt;54,"Old")</f>
        <v>Middle Age</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cm="1">
        <f t="array" ref="M785">_xlfn.IFS(AND(L785&gt;=31,L785&lt;=54),"Middle Age",L785&lt;31,"Adolescent",L785&gt;54,"Old")</f>
        <v>Middle Age</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cm="1">
        <f t="array" ref="M786">_xlfn.IFS(AND(L786&gt;=31,L786&lt;=54),"Middle Age",L786&lt;31,"Adolescent",L786&gt;54,"Old")</f>
        <v>Middle Age</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cm="1">
        <f t="array" ref="M787">_xlfn.IFS(AND(L787&gt;=31,L787&lt;=54),"Middle Age",L787&lt;31,"Adolescent",L787&gt;54,"Old")</f>
        <v>Adolescent</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cm="1">
        <f t="array" ref="M788">_xlfn.IFS(AND(L788&gt;=31,L788&lt;=54),"Middle Age",L788&lt;31,"Adolescent",L788&gt;54,"Old")</f>
        <v>Middle Age</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cm="1">
        <f t="array" ref="M789">_xlfn.IFS(AND(L789&gt;=31,L789&lt;=54),"Middle Age",L789&lt;31,"Adolescent",L789&gt;54,"Old")</f>
        <v>Old</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cm="1">
        <f t="array" ref="M790">_xlfn.IFS(AND(L790&gt;=31,L790&lt;=54),"Middle Age",L790&lt;31,"Adolescent",L790&gt;54,"Old")</f>
        <v>Middle Age</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cm="1">
        <f t="array" ref="M791">_xlfn.IFS(AND(L791&gt;=31,L791&lt;=54),"Middle Age",L791&lt;31,"Adolescent",L791&gt;54,"Old")</f>
        <v>Middle Age</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cm="1">
        <f t="array" ref="M792">_xlfn.IFS(AND(L792&gt;=31,L792&lt;=54),"Middle Age",L792&lt;31,"Adolescent",L792&gt;54,"Old")</f>
        <v>Middle Age</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cm="1">
        <f t="array" ref="M793">_xlfn.IFS(AND(L793&gt;=31,L793&lt;=54),"Middle Age",L793&lt;31,"Adolescent",L793&gt;54,"Old")</f>
        <v>Adolescent</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cm="1">
        <f t="array" ref="M794">_xlfn.IFS(AND(L794&gt;=31,L794&lt;=54),"Middle Age",L794&lt;31,"Adolescent",L794&gt;54,"Old")</f>
        <v>Middle Age</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cm="1">
        <f t="array" ref="M795">_xlfn.IFS(AND(L795&gt;=31,L795&lt;=54),"Middle Age",L795&lt;31,"Adolescent",L795&gt;54,"Old")</f>
        <v>Middle Age</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cm="1">
        <f t="array" ref="M796">_xlfn.IFS(AND(L796&gt;=31,L796&lt;=54),"Middle Age",L796&lt;31,"Adolescent",L796&gt;54,"Old")</f>
        <v>Old</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cm="1">
        <f t="array" ref="M797">_xlfn.IFS(AND(L797&gt;=31,L797&lt;=54),"Middle Age",L797&lt;31,"Adolescent",L797&gt;54,"Old")</f>
        <v>Middle Age</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cm="1">
        <f t="array" ref="M798">_xlfn.IFS(AND(L798&gt;=31,L798&lt;=54),"Middle Age",L798&lt;31,"Adolescent",L798&gt;54,"Old")</f>
        <v>Old</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cm="1">
        <f t="array" ref="M799">_xlfn.IFS(AND(L799&gt;=31,L799&lt;=54),"Middle Age",L799&lt;31,"Adolescent",L799&gt;54,"Old")</f>
        <v>Adolescent</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cm="1">
        <f t="array" ref="M800">_xlfn.IFS(AND(L800&gt;=31,L800&lt;=54),"Middle Age",L800&lt;31,"Adolescent",L800&gt;54,"Old")</f>
        <v>Adolescent</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cm="1">
        <f t="array" ref="M801">_xlfn.IFS(AND(L801&gt;=31,L801&lt;=54),"Middle Age",L801&lt;31,"Adolescent",L801&gt;54,"Old")</f>
        <v>Middle Age</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cm="1">
        <f t="array" ref="M802">_xlfn.IFS(AND(L802&gt;=31,L802&lt;=54),"Middle Age",L802&lt;31,"Adolescent",L802&gt;54,"Old")</f>
        <v>Middle Age</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cm="1">
        <f t="array" ref="M803">_xlfn.IFS(AND(L803&gt;=31,L803&lt;=54),"Middle Age",L803&lt;31,"Adolescent",L803&gt;54,"Old")</f>
        <v>Old</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cm="1">
        <f t="array" ref="M804">_xlfn.IFS(AND(L804&gt;=31,L804&lt;=54),"Middle Age",L804&lt;31,"Adolescent",L804&gt;54,"Old")</f>
        <v>Adolescent</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cm="1">
        <f t="array" ref="M805">_xlfn.IFS(AND(L805&gt;=31,L805&lt;=54),"Middle Age",L805&lt;31,"Adolescent",L805&gt;54,"Old")</f>
        <v>Adolescent</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cm="1">
        <f t="array" ref="M806">_xlfn.IFS(AND(L806&gt;=31,L806&lt;=54),"Middle Age",L806&lt;31,"Adolescent",L806&gt;54,"Old")</f>
        <v>Adolescent</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cm="1">
        <f t="array" ref="M807">_xlfn.IFS(AND(L807&gt;=31,L807&lt;=54),"Middle Age",L807&lt;31,"Adolescent",L807&gt;54,"Old")</f>
        <v>Middle Age</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cm="1">
        <f t="array" ref="M808">_xlfn.IFS(AND(L808&gt;=31,L808&lt;=54),"Middle Age",L808&lt;31,"Adolescent",L808&gt;54,"Old")</f>
        <v>Middle Age</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cm="1">
        <f t="array" ref="M809">_xlfn.IFS(AND(L809&gt;=31,L809&lt;=54),"Middle Age",L809&lt;31,"Adolescent",L809&gt;54,"Old")</f>
        <v>Middle Age</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cm="1">
        <f t="array" ref="M810">_xlfn.IFS(AND(L810&gt;=31,L810&lt;=54),"Middle Age",L810&lt;31,"Adolescent",L810&gt;54,"Old")</f>
        <v>Middle Age</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cm="1">
        <f t="array" ref="M811">_xlfn.IFS(AND(L811&gt;=31,L811&lt;=54),"Middle Age",L811&lt;31,"Adolescent",L811&gt;54,"Old")</f>
        <v>Old</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cm="1">
        <f t="array" ref="M812">_xlfn.IFS(AND(L812&gt;=31,L812&lt;=54),"Middle Age",L812&lt;31,"Adolescent",L812&gt;54,"Old")</f>
        <v>Middle Age</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cm="1">
        <f t="array" ref="M813">_xlfn.IFS(AND(L813&gt;=31,L813&lt;=54),"Middle Age",L813&lt;31,"Adolescent",L813&gt;54,"Old")</f>
        <v>Middle Age</v>
      </c>
      <c r="N813" t="s">
        <v>18</v>
      </c>
    </row>
    <row r="814" spans="1:14" x14ac:dyDescent="0.3">
      <c r="A814">
        <v>15749</v>
      </c>
      <c r="B814" t="s">
        <v>37</v>
      </c>
      <c r="C814" t="s">
        <v>38</v>
      </c>
      <c r="D814" s="3">
        <v>70000</v>
      </c>
      <c r="E814">
        <v>4</v>
      </c>
      <c r="F814" t="s">
        <v>13</v>
      </c>
      <c r="G814" t="s">
        <v>28</v>
      </c>
      <c r="H814" t="s">
        <v>15</v>
      </c>
      <c r="I814">
        <v>2</v>
      </c>
      <c r="J814" t="s">
        <v>46</v>
      </c>
      <c r="K814" t="s">
        <v>32</v>
      </c>
      <c r="L814">
        <v>61</v>
      </c>
      <c r="M814" t="str" cm="1">
        <f t="array" ref="M814">_xlfn.IFS(AND(L814&gt;=31,L814&lt;=54),"Middle Age",L814&lt;31,"Adolescent",L814&gt;54,"Old")</f>
        <v>Old</v>
      </c>
      <c r="N814" t="s">
        <v>18</v>
      </c>
    </row>
    <row r="815" spans="1:14" x14ac:dyDescent="0.3">
      <c r="A815">
        <v>25899</v>
      </c>
      <c r="B815" t="s">
        <v>36</v>
      </c>
      <c r="C815" t="s">
        <v>38</v>
      </c>
      <c r="D815" s="3">
        <v>70000</v>
      </c>
      <c r="E815">
        <v>2</v>
      </c>
      <c r="F815" t="s">
        <v>27</v>
      </c>
      <c r="G815" t="s">
        <v>21</v>
      </c>
      <c r="H815" t="s">
        <v>15</v>
      </c>
      <c r="I815">
        <v>2</v>
      </c>
      <c r="J815" t="s">
        <v>46</v>
      </c>
      <c r="K815" t="s">
        <v>32</v>
      </c>
      <c r="L815">
        <v>53</v>
      </c>
      <c r="M815" t="str" cm="1">
        <f t="array" ref="M815">_xlfn.IFS(AND(L815&gt;=31,L815&lt;=54),"Middle Age",L815&lt;31,"Adolescent",L815&gt;54,"Old")</f>
        <v>Middle Age</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cm="1">
        <f t="array" ref="M816">_xlfn.IFS(AND(L816&gt;=31,L816&lt;=54),"Middle Age",L816&lt;31,"Adolescent",L816&gt;54,"Old")</f>
        <v>Old</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cm="1">
        <f t="array" ref="M817">_xlfn.IFS(AND(L817&gt;=31,L817&lt;=54),"Middle Age",L817&lt;31,"Adolescent",L817&gt;54,"Old")</f>
        <v>Adolescent</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cm="1">
        <f t="array" ref="M818">_xlfn.IFS(AND(L818&gt;=31,L818&lt;=54),"Middle Age",L818&lt;31,"Adolescent",L818&gt;54,"Old")</f>
        <v>Middle Age</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cm="1">
        <f t="array" ref="M819">_xlfn.IFS(AND(L819&gt;=31,L819&lt;=54),"Middle Age",L819&lt;31,"Adolescent",L819&gt;54,"Old")</f>
        <v>Middle Age</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cm="1">
        <f t="array" ref="M820">_xlfn.IFS(AND(L820&gt;=31,L820&lt;=54),"Middle Age",L820&lt;31,"Adolescent",L820&gt;54,"Old")</f>
        <v>Adolescent</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cm="1">
        <f t="array" ref="M821">_xlfn.IFS(AND(L821&gt;=31,L821&lt;=54),"Middle Age",L821&lt;31,"Adolescent",L821&gt;54,"Old")</f>
        <v>Adolescent</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cm="1">
        <f t="array" ref="M822">_xlfn.IFS(AND(L822&gt;=31,L822&lt;=54),"Middle Age",L822&lt;31,"Adolescent",L822&gt;54,"Old")</f>
        <v>Middle Age</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cm="1">
        <f t="array" ref="M823">_xlfn.IFS(AND(L823&gt;=31,L823&lt;=54),"Middle Age",L823&lt;31,"Adolescent",L823&gt;54,"Old")</f>
        <v>Middle Age</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cm="1">
        <f t="array" ref="M824">_xlfn.IFS(AND(L824&gt;=31,L824&lt;=54),"Middle Age",L824&lt;31,"Adolescent",L824&gt;54,"Old")</f>
        <v>Middle Age</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cm="1">
        <f t="array" ref="M825">_xlfn.IFS(AND(L825&gt;=31,L825&lt;=54),"Middle Age",L825&lt;31,"Adolescent",L825&gt;54,"Old")</f>
        <v>Middle Age</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cm="1">
        <f t="array" ref="M826">_xlfn.IFS(AND(L826&gt;=31,L826&lt;=54),"Middle Age",L826&lt;31,"Adolescent",L826&gt;54,"Old")</f>
        <v>Middle Age</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cm="1">
        <f t="array" ref="M827">_xlfn.IFS(AND(L827&gt;=31,L827&lt;=54),"Middle Age",L827&lt;31,"Adolescent",L827&gt;54,"Old")</f>
        <v>Middle Age</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cm="1">
        <f t="array" ref="M828">_xlfn.IFS(AND(L828&gt;=31,L828&lt;=54),"Middle Age",L828&lt;31,"Adolescent",L828&gt;54,"Old")</f>
        <v>Middle Age</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cm="1">
        <f t="array" ref="M829">_xlfn.IFS(AND(L829&gt;=31,L829&lt;=54),"Middle Age",L829&lt;31,"Adolescent",L829&gt;54,"Old")</f>
        <v>Middle Age</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cm="1">
        <f t="array" ref="M830">_xlfn.IFS(AND(L830&gt;=31,L830&lt;=54),"Middle Age",L830&lt;31,"Adolescent",L830&gt;54,"Old")</f>
        <v>Adolescent</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cm="1">
        <f t="array" ref="M831">_xlfn.IFS(AND(L831&gt;=31,L831&lt;=54),"Middle Age",L831&lt;31,"Adolescent",L831&gt;54,"Old")</f>
        <v>Old</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cm="1">
        <f t="array" ref="M832">_xlfn.IFS(AND(L832&gt;=31,L832&lt;=54),"Middle Age",L832&lt;31,"Adolescent",L832&gt;54,"Old")</f>
        <v>Middle Age</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cm="1">
        <f t="array" ref="M833">_xlfn.IFS(AND(L833&gt;=31,L833&lt;=54),"Middle Age",L833&lt;31,"Adolescent",L833&gt;54,"Old")</f>
        <v>Middle Age</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cm="1">
        <f t="array" ref="M834">_xlfn.IFS(AND(L834&gt;=31,L834&lt;=54),"Middle Age",L834&lt;31,"Adolescent",L834&gt;54,"Old")</f>
        <v>Middle Age</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cm="1">
        <f t="array" ref="M835">_xlfn.IFS(AND(L835&gt;=31,L835&lt;=54),"Middle Age",L835&lt;31,"Adolescent",L835&gt;54,"Old")</f>
        <v>Middle Age</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cm="1">
        <f t="array" ref="M836">_xlfn.IFS(AND(L836&gt;=31,L836&lt;=54),"Middle Age",L836&lt;31,"Adolescent",L836&gt;54,"Old")</f>
        <v>Middle Age</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cm="1">
        <f t="array" ref="M837">_xlfn.IFS(AND(L837&gt;=31,L837&lt;=54),"Middle Age",L837&lt;31,"Adolescent",L837&gt;54,"Old")</f>
        <v>Middle Age</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cm="1">
        <f t="array" ref="M838">_xlfn.IFS(AND(L838&gt;=31,L838&lt;=54),"Middle Age",L838&lt;31,"Adolescent",L838&gt;54,"Old")</f>
        <v>Adolescent</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cm="1">
        <f t="array" ref="M839">_xlfn.IFS(AND(L839&gt;=31,L839&lt;=54),"Middle Age",L839&lt;31,"Adolescent",L839&gt;54,"Old")</f>
        <v>Middle Age</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cm="1">
        <f t="array" ref="M840">_xlfn.IFS(AND(L840&gt;=31,L840&lt;=54),"Middle Age",L840&lt;31,"Adolescent",L840&gt;54,"Old")</f>
        <v>Middle Age</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cm="1">
        <f t="array" ref="M841">_xlfn.IFS(AND(L841&gt;=31,L841&lt;=54),"Middle Age",L841&lt;31,"Adolescent",L841&gt;54,"Old")</f>
        <v>Middle Age</v>
      </c>
      <c r="N841" t="s">
        <v>15</v>
      </c>
    </row>
    <row r="842" spans="1:14" x14ac:dyDescent="0.3">
      <c r="A842">
        <v>11233</v>
      </c>
      <c r="B842" t="s">
        <v>36</v>
      </c>
      <c r="C842" t="s">
        <v>39</v>
      </c>
      <c r="D842" s="3">
        <v>70000</v>
      </c>
      <c r="E842">
        <v>4</v>
      </c>
      <c r="F842" t="s">
        <v>19</v>
      </c>
      <c r="G842" t="s">
        <v>21</v>
      </c>
      <c r="H842" t="s">
        <v>15</v>
      </c>
      <c r="I842">
        <v>2</v>
      </c>
      <c r="J842" t="s">
        <v>46</v>
      </c>
      <c r="K842" t="s">
        <v>32</v>
      </c>
      <c r="L842">
        <v>53</v>
      </c>
      <c r="M842" t="str" cm="1">
        <f t="array" ref="M842">_xlfn.IFS(AND(L842&gt;=31,L842&lt;=54),"Middle Age",L842&lt;31,"Adolescent",L842&gt;54,"Old")</f>
        <v>Middle Age</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cm="1">
        <f t="array" ref="M843">_xlfn.IFS(AND(L843&gt;=31,L843&lt;=54),"Middle Age",L843&lt;31,"Adolescent",L843&gt;54,"Old")</f>
        <v>Old</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cm="1">
        <f t="array" ref="M844">_xlfn.IFS(AND(L844&gt;=31,L844&lt;=54),"Middle Age",L844&lt;31,"Adolescent",L844&gt;54,"Old")</f>
        <v>Middle Age</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cm="1">
        <f t="array" ref="M845">_xlfn.IFS(AND(L845&gt;=31,L845&lt;=54),"Middle Age",L845&lt;31,"Adolescent",L845&gt;54,"Old")</f>
        <v>Middle Age</v>
      </c>
      <c r="N845" t="s">
        <v>18</v>
      </c>
    </row>
    <row r="846" spans="1:14" x14ac:dyDescent="0.3">
      <c r="A846">
        <v>22743</v>
      </c>
      <c r="B846" t="s">
        <v>36</v>
      </c>
      <c r="C846" t="s">
        <v>38</v>
      </c>
      <c r="D846" s="3">
        <v>40000</v>
      </c>
      <c r="E846">
        <v>5</v>
      </c>
      <c r="F846" t="s">
        <v>27</v>
      </c>
      <c r="G846" t="s">
        <v>21</v>
      </c>
      <c r="H846" t="s">
        <v>15</v>
      </c>
      <c r="I846">
        <v>2</v>
      </c>
      <c r="J846" t="s">
        <v>46</v>
      </c>
      <c r="K846" t="s">
        <v>32</v>
      </c>
      <c r="L846">
        <v>60</v>
      </c>
      <c r="M846" t="str" cm="1">
        <f t="array" ref="M846">_xlfn.IFS(AND(L846&gt;=31,L846&lt;=54),"Middle Age",L846&lt;31,"Adolescent",L846&gt;54,"Old")</f>
        <v>Old</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cm="1">
        <f t="array" ref="M847">_xlfn.IFS(AND(L847&gt;=31,L847&lt;=54),"Middle Age",L847&lt;31,"Adolescent",L847&gt;54,"Old")</f>
        <v>Middle Age</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cm="1">
        <f t="array" ref="M848">_xlfn.IFS(AND(L848&gt;=31,L848&lt;=54),"Middle Age",L848&lt;31,"Adolescent",L848&gt;54,"Old")</f>
        <v>Old</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cm="1">
        <f t="array" ref="M849">_xlfn.IFS(AND(L849&gt;=31,L849&lt;=54),"Middle Age",L849&lt;31,"Adolescent",L849&gt;54,"Old")</f>
        <v>Adolescent</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cm="1">
        <f t="array" ref="M850">_xlfn.IFS(AND(L850&gt;=31,L850&lt;=54),"Middle Age",L850&lt;31,"Adolescent",L850&gt;54,"Old")</f>
        <v>Middle Age</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cm="1">
        <f t="array" ref="M851">_xlfn.IFS(AND(L851&gt;=31,L851&lt;=54),"Middle Age",L851&lt;31,"Adolescent",L851&gt;54,"Old")</f>
        <v>Old</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cm="1">
        <f t="array" ref="M852">_xlfn.IFS(AND(L852&gt;=31,L852&lt;=54),"Middle Age",L852&lt;31,"Adolescent",L852&gt;54,"Old")</f>
        <v>Old</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cm="1">
        <f t="array" ref="M853">_xlfn.IFS(AND(L853&gt;=31,L853&lt;=54),"Middle Age",L853&lt;31,"Adolescent",L853&gt;54,"Old")</f>
        <v>Middle Age</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cm="1">
        <f t="array" ref="M854">_xlfn.IFS(AND(L854&gt;=31,L854&lt;=54),"Middle Age",L854&lt;31,"Adolescent",L854&gt;54,"Old")</f>
        <v>Middle Age</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cm="1">
        <f t="array" ref="M855">_xlfn.IFS(AND(L855&gt;=31,L855&lt;=54),"Middle Age",L855&lt;31,"Adolescent",L855&gt;54,"Old")</f>
        <v>Middle Age</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cm="1">
        <f t="array" ref="M856">_xlfn.IFS(AND(L856&gt;=31,L856&lt;=54),"Middle Age",L856&lt;31,"Adolescent",L856&gt;54,"Old")</f>
        <v>Middle Age</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cm="1">
        <f t="array" ref="M857">_xlfn.IFS(AND(L857&gt;=31,L857&lt;=54),"Middle Age",L857&lt;31,"Adolescent",L857&gt;54,"Old")</f>
        <v>Middle Age</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cm="1">
        <f t="array" ref="M858">_xlfn.IFS(AND(L858&gt;=31,L858&lt;=54),"Middle Age",L858&lt;31,"Adolescent",L858&gt;54,"Old")</f>
        <v>Adolescent</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cm="1">
        <f t="array" ref="M859">_xlfn.IFS(AND(L859&gt;=31,L859&lt;=54),"Middle Age",L859&lt;31,"Adolescent",L859&gt;54,"Old")</f>
        <v>Middle Age</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cm="1">
        <f t="array" ref="M860">_xlfn.IFS(AND(L860&gt;=31,L860&lt;=54),"Middle Age",L860&lt;31,"Adolescent",L860&gt;54,"Old")</f>
        <v>Middle Age</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cm="1">
        <f t="array" ref="M861">_xlfn.IFS(AND(L861&gt;=31,L861&lt;=54),"Middle Age",L861&lt;31,"Adolescent",L861&gt;54,"Old")</f>
        <v>Middle Age</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cm="1">
        <f t="array" ref="M862">_xlfn.IFS(AND(L862&gt;=31,L862&lt;=54),"Middle Age",L862&lt;31,"Adolescent",L862&gt;54,"Old")</f>
        <v>Middle Age</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cm="1">
        <f t="array" ref="M863">_xlfn.IFS(AND(L863&gt;=31,L863&lt;=54),"Middle Age",L863&lt;31,"Adolescent",L863&gt;54,"Old")</f>
        <v>Middle Age</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cm="1">
        <f t="array" ref="M864">_xlfn.IFS(AND(L864&gt;=31,L864&lt;=54),"Middle Age",L864&lt;31,"Adolescent",L864&gt;54,"Old")</f>
        <v>Middle Age</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cm="1">
        <f t="array" ref="M865">_xlfn.IFS(AND(L865&gt;=31,L865&lt;=54),"Middle Age",L865&lt;31,"Adolescent",L865&gt;54,"Old")</f>
        <v>Middle Age</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cm="1">
        <f t="array" ref="M866">_xlfn.IFS(AND(L866&gt;=31,L866&lt;=54),"Middle Age",L866&lt;31,"Adolescent",L866&gt;54,"Old")</f>
        <v>Middle Age</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cm="1">
        <f t="array" ref="M867">_xlfn.IFS(AND(L867&gt;=31,L867&lt;=54),"Middle Age",L867&lt;31,"Adolescent",L867&gt;54,"Old")</f>
        <v>Middle Age</v>
      </c>
      <c r="N867" t="s">
        <v>15</v>
      </c>
    </row>
    <row r="868" spans="1:14" x14ac:dyDescent="0.3">
      <c r="A868">
        <v>28052</v>
      </c>
      <c r="B868" t="s">
        <v>36</v>
      </c>
      <c r="C868" t="s">
        <v>39</v>
      </c>
      <c r="D868" s="3">
        <v>60000</v>
      </c>
      <c r="E868">
        <v>2</v>
      </c>
      <c r="F868" t="s">
        <v>27</v>
      </c>
      <c r="G868" t="s">
        <v>21</v>
      </c>
      <c r="H868" t="s">
        <v>15</v>
      </c>
      <c r="I868">
        <v>2</v>
      </c>
      <c r="J868" t="s">
        <v>46</v>
      </c>
      <c r="K868" t="s">
        <v>32</v>
      </c>
      <c r="L868">
        <v>55</v>
      </c>
      <c r="M868" t="str" cm="1">
        <f t="array" ref="M868">_xlfn.IFS(AND(L868&gt;=31,L868&lt;=54),"Middle Age",L868&lt;31,"Adolescent",L868&gt;54,"Old")</f>
        <v>Old</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cm="1">
        <f t="array" ref="M869">_xlfn.IFS(AND(L869&gt;=31,L869&lt;=54),"Middle Age",L869&lt;31,"Adolescent",L869&gt;54,"Old")</f>
        <v>Middle Age</v>
      </c>
      <c r="N869" t="s">
        <v>18</v>
      </c>
    </row>
    <row r="870" spans="1:14" x14ac:dyDescent="0.3">
      <c r="A870">
        <v>24955</v>
      </c>
      <c r="B870" t="s">
        <v>37</v>
      </c>
      <c r="C870" t="s">
        <v>39</v>
      </c>
      <c r="D870" s="3">
        <v>30000</v>
      </c>
      <c r="E870">
        <v>5</v>
      </c>
      <c r="F870" t="s">
        <v>29</v>
      </c>
      <c r="G870" t="s">
        <v>14</v>
      </c>
      <c r="H870" t="s">
        <v>15</v>
      </c>
      <c r="I870">
        <v>3</v>
      </c>
      <c r="J870" t="s">
        <v>46</v>
      </c>
      <c r="K870" t="s">
        <v>32</v>
      </c>
      <c r="L870">
        <v>60</v>
      </c>
      <c r="M870" t="str" cm="1">
        <f t="array" ref="M870">_xlfn.IFS(AND(L870&gt;=31,L870&lt;=54),"Middle Age",L870&lt;31,"Adolescent",L870&gt;54,"Old")</f>
        <v>Old</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cm="1">
        <f t="array" ref="M871">_xlfn.IFS(AND(L871&gt;=31,L871&lt;=54),"Middle Age",L871&lt;31,"Adolescent",L871&gt;54,"Old")</f>
        <v>Middle Age</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cm="1">
        <f t="array" ref="M872">_xlfn.IFS(AND(L872&gt;=31,L872&lt;=54),"Middle Age",L872&lt;31,"Adolescent",L872&gt;54,"Old")</f>
        <v>Middle Age</v>
      </c>
      <c r="N872" t="s">
        <v>18</v>
      </c>
    </row>
    <row r="873" spans="1:14" x14ac:dyDescent="0.3">
      <c r="A873">
        <v>11219</v>
      </c>
      <c r="B873" t="s">
        <v>36</v>
      </c>
      <c r="C873" t="s">
        <v>39</v>
      </c>
      <c r="D873" s="3">
        <v>60000</v>
      </c>
      <c r="E873">
        <v>2</v>
      </c>
      <c r="F873" t="s">
        <v>27</v>
      </c>
      <c r="G873" t="s">
        <v>21</v>
      </c>
      <c r="H873" t="s">
        <v>15</v>
      </c>
      <c r="I873">
        <v>2</v>
      </c>
      <c r="J873" t="s">
        <v>46</v>
      </c>
      <c r="K873" t="s">
        <v>32</v>
      </c>
      <c r="L873">
        <v>55</v>
      </c>
      <c r="M873" t="str" cm="1">
        <f t="array" ref="M873">_xlfn.IFS(AND(L873&gt;=31,L873&lt;=54),"Middle Age",L873&lt;31,"Adolescent",L873&gt;54,"Old")</f>
        <v>Old</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cm="1">
        <f t="array" ref="M874">_xlfn.IFS(AND(L874&gt;=31,L874&lt;=54),"Middle Age",L874&lt;31,"Adolescent",L874&gt;54,"Old")</f>
        <v>Middle Age</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cm="1">
        <f t="array" ref="M875">_xlfn.IFS(AND(L875&gt;=31,L875&lt;=54),"Middle Age",L875&lt;31,"Adolescent",L875&gt;54,"Old")</f>
        <v>Middle Age</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cm="1">
        <f t="array" ref="M876">_xlfn.IFS(AND(L876&gt;=31,L876&lt;=54),"Middle Age",L876&lt;31,"Adolescent",L876&gt;54,"Old")</f>
        <v>Middle Age</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cm="1">
        <f t="array" ref="M877">_xlfn.IFS(AND(L877&gt;=31,L877&lt;=54),"Middle Age",L877&lt;31,"Adolescent",L877&gt;54,"Old")</f>
        <v>Middle Age</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cm="1">
        <f t="array" ref="M878">_xlfn.IFS(AND(L878&gt;=31,L878&lt;=54),"Middle Age",L878&lt;31,"Adolescent",L878&gt;54,"Old")</f>
        <v>Adolescent</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cm="1">
        <f t="array" ref="M879">_xlfn.IFS(AND(L879&gt;=31,L879&lt;=54),"Middle Age",L879&lt;31,"Adolescent",L879&gt;54,"Old")</f>
        <v>Old</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cm="1">
        <f t="array" ref="M880">_xlfn.IFS(AND(L880&gt;=31,L880&lt;=54),"Middle Age",L880&lt;31,"Adolescent",L880&gt;54,"Old")</f>
        <v>Old</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cm="1">
        <f t="array" ref="M881">_xlfn.IFS(AND(L881&gt;=31,L881&lt;=54),"Middle Age",L881&lt;31,"Adolescent",L881&gt;54,"Old")</f>
        <v>Middle Age</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cm="1">
        <f t="array" ref="M882">_xlfn.IFS(AND(L882&gt;=31,L882&lt;=54),"Middle Age",L882&lt;31,"Adolescent",L882&gt;54,"Old")</f>
        <v>Middle Age</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cm="1">
        <f t="array" ref="M883">_xlfn.IFS(AND(L883&gt;=31,L883&lt;=54),"Middle Age",L883&lt;31,"Adolescent",L883&gt;54,"Old")</f>
        <v>Old</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cm="1">
        <f t="array" ref="M884">_xlfn.IFS(AND(L884&gt;=31,L884&lt;=54),"Middle Age",L884&lt;31,"Adolescent",L884&gt;54,"Old")</f>
        <v>Middle Age</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cm="1">
        <f t="array" ref="M885">_xlfn.IFS(AND(L885&gt;=31,L885&lt;=54),"Middle Age",L885&lt;31,"Adolescent",L885&gt;54,"Old")</f>
        <v>Middle Age</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cm="1">
        <f t="array" ref="M886">_xlfn.IFS(AND(L886&gt;=31,L886&lt;=54),"Middle Age",L886&lt;31,"Adolescent",L886&gt;54,"Old")</f>
        <v>Old</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cm="1">
        <f t="array" ref="M887">_xlfn.IFS(AND(L887&gt;=31,L887&lt;=54),"Middle Age",L887&lt;31,"Adolescent",L887&gt;54,"Old")</f>
        <v>Middle Age</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cm="1">
        <f t="array" ref="M888">_xlfn.IFS(AND(L888&gt;=31,L888&lt;=54),"Middle Age",L888&lt;31,"Adolescent",L888&gt;54,"Old")</f>
        <v>Middle Age</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cm="1">
        <f t="array" ref="M889">_xlfn.IFS(AND(L889&gt;=31,L889&lt;=54),"Middle Age",L889&lt;31,"Adolescent",L889&gt;54,"Old")</f>
        <v>Middle Age</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cm="1">
        <f t="array" ref="M890">_xlfn.IFS(AND(L890&gt;=31,L890&lt;=54),"Middle Age",L890&lt;31,"Adolescent",L890&gt;54,"Old")</f>
        <v>Middle Age</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cm="1">
        <f t="array" ref="M891">_xlfn.IFS(AND(L891&gt;=31,L891&lt;=54),"Middle Age",L891&lt;31,"Adolescent",L891&gt;54,"Old")</f>
        <v>Middle Age</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cm="1">
        <f t="array" ref="M892">_xlfn.IFS(AND(L892&gt;=31,L892&lt;=54),"Middle Age",L892&lt;31,"Adolescent",L892&gt;54,"Old")</f>
        <v>Middle Age</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cm="1">
        <f t="array" ref="M893">_xlfn.IFS(AND(L893&gt;=31,L893&lt;=54),"Middle Age",L893&lt;31,"Adolescent",L893&gt;54,"Old")</f>
        <v>Old</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cm="1">
        <f t="array" ref="M894">_xlfn.IFS(AND(L894&gt;=31,L894&lt;=54),"Middle Age",L894&lt;31,"Adolescent",L894&gt;54,"Old")</f>
        <v>Middle Age</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cm="1">
        <f t="array" ref="M895">_xlfn.IFS(AND(L895&gt;=31,L895&lt;=54),"Middle Age",L895&lt;31,"Adolescent",L895&gt;54,"Old")</f>
        <v>Middle Age</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cm="1">
        <f t="array" ref="M896">_xlfn.IFS(AND(L896&gt;=31,L896&lt;=54),"Middle Age",L896&lt;31,"Adolescent",L896&gt;54,"Old")</f>
        <v>Middle Age</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cm="1">
        <f t="array" ref="M897">_xlfn.IFS(AND(L897&gt;=31,L897&lt;=54),"Middle Age",L897&lt;31,"Adolescent",L897&gt;54,"Old")</f>
        <v>Old</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cm="1">
        <f t="array" ref="M898">_xlfn.IFS(AND(L898&gt;=31,L898&lt;=54),"Middle Age",L898&lt;31,"Adolescent",L898&gt;54,"Old")</f>
        <v>Middle Age</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cm="1">
        <f t="array" ref="M899">_xlfn.IFS(AND(L899&gt;=31,L899&lt;=54),"Middle Age",L899&lt;31,"Adolescent",L899&gt;54,"Old")</f>
        <v>Adolescent</v>
      </c>
      <c r="N899" t="s">
        <v>18</v>
      </c>
    </row>
    <row r="900" spans="1:14" x14ac:dyDescent="0.3">
      <c r="A900">
        <v>18066</v>
      </c>
      <c r="B900" t="s">
        <v>37</v>
      </c>
      <c r="C900" t="s">
        <v>39</v>
      </c>
      <c r="D900" s="3">
        <v>70000</v>
      </c>
      <c r="E900">
        <v>5</v>
      </c>
      <c r="F900" t="s">
        <v>13</v>
      </c>
      <c r="G900" t="s">
        <v>28</v>
      </c>
      <c r="H900" t="s">
        <v>15</v>
      </c>
      <c r="I900">
        <v>3</v>
      </c>
      <c r="J900" t="s">
        <v>46</v>
      </c>
      <c r="K900" t="s">
        <v>32</v>
      </c>
      <c r="L900">
        <v>60</v>
      </c>
      <c r="M900" t="str" cm="1">
        <f t="array" ref="M900">_xlfn.IFS(AND(L900&gt;=31,L900&lt;=54),"Middle Age",L900&lt;31,"Adolescent",L900&gt;54,"Old")</f>
        <v>Old</v>
      </c>
      <c r="N900" t="s">
        <v>15</v>
      </c>
    </row>
    <row r="901" spans="1:14" x14ac:dyDescent="0.3">
      <c r="A901">
        <v>28192</v>
      </c>
      <c r="B901" t="s">
        <v>36</v>
      </c>
      <c r="C901" t="s">
        <v>38</v>
      </c>
      <c r="D901" s="3">
        <v>70000</v>
      </c>
      <c r="E901">
        <v>5</v>
      </c>
      <c r="F901" t="s">
        <v>31</v>
      </c>
      <c r="G901" t="s">
        <v>21</v>
      </c>
      <c r="H901" t="s">
        <v>15</v>
      </c>
      <c r="I901">
        <v>3</v>
      </c>
      <c r="J901" t="s">
        <v>46</v>
      </c>
      <c r="K901" t="s">
        <v>32</v>
      </c>
      <c r="L901">
        <v>46</v>
      </c>
      <c r="M901" t="str" cm="1">
        <f t="array" ref="M901">_xlfn.IFS(AND(L901&gt;=31,L901&lt;=54),"Middle Age",L901&lt;31,"Adolescent",L901&gt;54,"Old")</f>
        <v>Middle Age</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cm="1">
        <f t="array" ref="M902">_xlfn.IFS(AND(L902&gt;=31,L902&lt;=54),"Middle Age",L902&lt;31,"Adolescent",L902&gt;54,"Old")</f>
        <v>Middle Age</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cm="1">
        <f t="array" ref="M903">_xlfn.IFS(AND(L903&gt;=31,L903&lt;=54),"Middle Age",L903&lt;31,"Adolescent",L903&gt;54,"Old")</f>
        <v>Middle Age</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cm="1">
        <f t="array" ref="M904">_xlfn.IFS(AND(L904&gt;=31,L904&lt;=54),"Middle Age",L904&lt;31,"Adolescent",L904&gt;54,"Old")</f>
        <v>Middle Age</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cm="1">
        <f t="array" ref="M905">_xlfn.IFS(AND(L905&gt;=31,L905&lt;=54),"Middle Age",L905&lt;31,"Adolescent",L905&gt;54,"Old")</f>
        <v>Old</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cm="1">
        <f t="array" ref="M906">_xlfn.IFS(AND(L906&gt;=31,L906&lt;=54),"Middle Age",L906&lt;31,"Adolescent",L906&gt;54,"Old")</f>
        <v>Middle Age</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cm="1">
        <f t="array" ref="M907">_xlfn.IFS(AND(L907&gt;=31,L907&lt;=54),"Middle Age",L907&lt;31,"Adolescent",L907&gt;54,"Old")</f>
        <v>Middle Age</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cm="1">
        <f t="array" ref="M908">_xlfn.IFS(AND(L908&gt;=31,L908&lt;=54),"Middle Age",L908&lt;31,"Adolescent",L908&gt;54,"Old")</f>
        <v>Middle Age</v>
      </c>
      <c r="N908" t="s">
        <v>15</v>
      </c>
    </row>
    <row r="909" spans="1:14" x14ac:dyDescent="0.3">
      <c r="A909">
        <v>19747</v>
      </c>
      <c r="B909" t="s">
        <v>36</v>
      </c>
      <c r="C909" t="s">
        <v>39</v>
      </c>
      <c r="D909" s="3">
        <v>50000</v>
      </c>
      <c r="E909">
        <v>4</v>
      </c>
      <c r="F909" t="s">
        <v>13</v>
      </c>
      <c r="G909" t="s">
        <v>28</v>
      </c>
      <c r="H909" t="s">
        <v>15</v>
      </c>
      <c r="I909">
        <v>2</v>
      </c>
      <c r="J909" t="s">
        <v>46</v>
      </c>
      <c r="K909" t="s">
        <v>32</v>
      </c>
      <c r="L909">
        <v>63</v>
      </c>
      <c r="M909" t="str" cm="1">
        <f t="array" ref="M909">_xlfn.IFS(AND(L909&gt;=31,L909&lt;=54),"Middle Age",L909&lt;31,"Adolescent",L909&gt;54,"Old")</f>
        <v>Old</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cm="1">
        <f t="array" ref="M910">_xlfn.IFS(AND(L910&gt;=31,L910&lt;=54),"Middle Age",L910&lt;31,"Adolescent",L910&gt;54,"Old")</f>
        <v>Middle Age</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cm="1">
        <f t="array" ref="M911">_xlfn.IFS(AND(L911&gt;=31,L911&lt;=54),"Middle Age",L911&lt;31,"Adolescent",L911&gt;54,"Old")</f>
        <v>Middle Age</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cm="1">
        <f t="array" ref="M912">_xlfn.IFS(AND(L912&gt;=31,L912&lt;=54),"Middle Age",L912&lt;31,"Adolescent",L912&gt;54,"Old")</f>
        <v>Middle Age</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cm="1">
        <f t="array" ref="M913">_xlfn.IFS(AND(L913&gt;=31,L913&lt;=54),"Middle Age",L913&lt;31,"Adolescent",L913&gt;54,"Old")</f>
        <v>Old</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cm="1">
        <f t="array" ref="M914">_xlfn.IFS(AND(L914&gt;=31,L914&lt;=54),"Middle Age",L914&lt;31,"Adolescent",L914&gt;54,"Old")</f>
        <v>Middle Age</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cm="1">
        <f t="array" ref="M915">_xlfn.IFS(AND(L915&gt;=31,L915&lt;=54),"Middle Age",L915&lt;31,"Adolescent",L915&gt;54,"Old")</f>
        <v>Middle Age</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cm="1">
        <f t="array" ref="M916">_xlfn.IFS(AND(L916&gt;=31,L916&lt;=54),"Middle Age",L916&lt;31,"Adolescent",L916&gt;54,"Old")</f>
        <v>Middle Age</v>
      </c>
      <c r="N916" t="s">
        <v>18</v>
      </c>
    </row>
    <row r="917" spans="1:14" x14ac:dyDescent="0.3">
      <c r="A917">
        <v>21752</v>
      </c>
      <c r="B917" t="s">
        <v>36</v>
      </c>
      <c r="C917" t="s">
        <v>39</v>
      </c>
      <c r="D917" s="3">
        <v>60000</v>
      </c>
      <c r="E917">
        <v>3</v>
      </c>
      <c r="F917" t="s">
        <v>31</v>
      </c>
      <c r="G917" t="s">
        <v>28</v>
      </c>
      <c r="H917" t="s">
        <v>15</v>
      </c>
      <c r="I917">
        <v>2</v>
      </c>
      <c r="J917" t="s">
        <v>46</v>
      </c>
      <c r="K917" t="s">
        <v>32</v>
      </c>
      <c r="L917">
        <v>64</v>
      </c>
      <c r="M917" t="str" cm="1">
        <f t="array" ref="M917">_xlfn.IFS(AND(L917&gt;=31,L917&lt;=54),"Middle Age",L917&lt;31,"Adolescent",L917&gt;54,"Old")</f>
        <v>Old</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cm="1">
        <f t="array" ref="M918">_xlfn.IFS(AND(L918&gt;=31,L918&lt;=54),"Middle Age",L918&lt;31,"Adolescent",L918&gt;54,"Old")</f>
        <v>Middle Age</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cm="1">
        <f t="array" ref="M919">_xlfn.IFS(AND(L919&gt;=31,L919&lt;=54),"Middle Age",L919&lt;31,"Adolescent",L919&gt;54,"Old")</f>
        <v>Middle Age</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cm="1">
        <f t="array" ref="M920">_xlfn.IFS(AND(L920&gt;=31,L920&lt;=54),"Middle Age",L920&lt;31,"Adolescent",L920&gt;54,"Old")</f>
        <v>Middle Age</v>
      </c>
      <c r="N920" t="s">
        <v>15</v>
      </c>
    </row>
    <row r="921" spans="1:14" x14ac:dyDescent="0.3">
      <c r="A921">
        <v>21451</v>
      </c>
      <c r="B921" t="s">
        <v>36</v>
      </c>
      <c r="C921" t="s">
        <v>38</v>
      </c>
      <c r="D921" s="3">
        <v>40000</v>
      </c>
      <c r="E921">
        <v>4</v>
      </c>
      <c r="F921" t="s">
        <v>27</v>
      </c>
      <c r="G921" t="s">
        <v>21</v>
      </c>
      <c r="H921" t="s">
        <v>15</v>
      </c>
      <c r="I921">
        <v>2</v>
      </c>
      <c r="J921" t="s">
        <v>46</v>
      </c>
      <c r="K921" t="s">
        <v>32</v>
      </c>
      <c r="L921">
        <v>61</v>
      </c>
      <c r="M921" t="str" cm="1">
        <f t="array" ref="M921">_xlfn.IFS(AND(L921&gt;=31,L921&lt;=54),"Middle Age",L921&lt;31,"Adolescent",L921&gt;54,"Old")</f>
        <v>Old</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cm="1">
        <f t="array" ref="M922">_xlfn.IFS(AND(L922&gt;=31,L922&lt;=54),"Middle Age",L922&lt;31,"Adolescent",L922&gt;54,"Old")</f>
        <v>Middle Age</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cm="1">
        <f t="array" ref="M923">_xlfn.IFS(AND(L923&gt;=31,L923&lt;=54),"Middle Age",L923&lt;31,"Adolescent",L923&gt;54,"Old")</f>
        <v>Middle Age</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cm="1">
        <f t="array" ref="M924">_xlfn.IFS(AND(L924&gt;=31,L924&lt;=54),"Middle Age",L924&lt;31,"Adolescent",L924&gt;54,"Old")</f>
        <v>Middle Age</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cm="1">
        <f t="array" ref="M925">_xlfn.IFS(AND(L925&gt;=31,L925&lt;=54),"Middle Age",L925&lt;31,"Adolescent",L925&gt;54,"Old")</f>
        <v>Middle Age</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cm="1">
        <f t="array" ref="M926">_xlfn.IFS(AND(L926&gt;=31,L926&lt;=54),"Middle Age",L926&lt;31,"Adolescent",L926&gt;54,"Old")</f>
        <v>Middle Age</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cm="1">
        <f t="array" ref="M927">_xlfn.IFS(AND(L927&gt;=31,L927&lt;=54),"Middle Age",L927&lt;31,"Adolescent",L927&gt;54,"Old")</f>
        <v>Middle Age</v>
      </c>
      <c r="N927" t="s">
        <v>15</v>
      </c>
    </row>
    <row r="928" spans="1:14" x14ac:dyDescent="0.3">
      <c r="A928">
        <v>26495</v>
      </c>
      <c r="B928" t="s">
        <v>37</v>
      </c>
      <c r="C928" t="s">
        <v>38</v>
      </c>
      <c r="D928" s="3">
        <v>40000</v>
      </c>
      <c r="E928">
        <v>2</v>
      </c>
      <c r="F928" t="s">
        <v>27</v>
      </c>
      <c r="G928" t="s">
        <v>21</v>
      </c>
      <c r="H928" t="s">
        <v>15</v>
      </c>
      <c r="I928">
        <v>2</v>
      </c>
      <c r="J928" t="s">
        <v>46</v>
      </c>
      <c r="K928" t="s">
        <v>32</v>
      </c>
      <c r="L928">
        <v>57</v>
      </c>
      <c r="M928" t="str" cm="1">
        <f t="array" ref="M928">_xlfn.IFS(AND(L928&gt;=31,L928&lt;=54),"Middle Age",L928&lt;31,"Adolescent",L928&gt;54,"Old")</f>
        <v>Old</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cm="1">
        <f t="array" ref="M929">_xlfn.IFS(AND(L929&gt;=31,L929&lt;=54),"Middle Age",L929&lt;31,"Adolescent",L929&gt;54,"Old")</f>
        <v>Middle Age</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cm="1">
        <f t="array" ref="M930">_xlfn.IFS(AND(L930&gt;=31,L930&lt;=54),"Middle Age",L930&lt;31,"Adolescent",L930&gt;54,"Old")</f>
        <v>Middle Age</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cm="1">
        <f t="array" ref="M931">_xlfn.IFS(AND(L931&gt;=31,L931&lt;=54),"Middle Age",L931&lt;31,"Adolescent",L931&gt;54,"Old")</f>
        <v>Middle Age</v>
      </c>
      <c r="N931" t="s">
        <v>18</v>
      </c>
    </row>
    <row r="932" spans="1:14" x14ac:dyDescent="0.3">
      <c r="A932">
        <v>19543</v>
      </c>
      <c r="B932" t="s">
        <v>36</v>
      </c>
      <c r="C932" t="s">
        <v>39</v>
      </c>
      <c r="D932" s="3">
        <v>70000</v>
      </c>
      <c r="E932">
        <v>5</v>
      </c>
      <c r="F932" t="s">
        <v>31</v>
      </c>
      <c r="G932" t="s">
        <v>21</v>
      </c>
      <c r="H932" t="s">
        <v>18</v>
      </c>
      <c r="I932">
        <v>3</v>
      </c>
      <c r="J932" t="s">
        <v>46</v>
      </c>
      <c r="K932" t="s">
        <v>32</v>
      </c>
      <c r="L932">
        <v>47</v>
      </c>
      <c r="M932" t="str" cm="1">
        <f t="array" ref="M932">_xlfn.IFS(AND(L932&gt;=31,L932&lt;=54),"Middle Age",L932&lt;31,"Adolescent",L932&gt;54,"Old")</f>
        <v>Middle Age</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cm="1">
        <f t="array" ref="M933">_xlfn.IFS(AND(L933&gt;=31,L933&lt;=54),"Middle Age",L933&lt;31,"Adolescent",L933&gt;54,"Old")</f>
        <v>Middle Age</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cm="1">
        <f t="array" ref="M934">_xlfn.IFS(AND(L934&gt;=31,L934&lt;=54),"Middle Age",L934&lt;31,"Adolescent",L934&gt;54,"Old")</f>
        <v>Adolescent</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cm="1">
        <f t="array" ref="M935">_xlfn.IFS(AND(L935&gt;=31,L935&lt;=54),"Middle Age",L935&lt;31,"Adolescent",L935&gt;54,"Old")</f>
        <v>Adolescent</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cm="1">
        <f t="array" ref="M936">_xlfn.IFS(AND(L936&gt;=31,L936&lt;=54),"Middle Age",L936&lt;31,"Adolescent",L936&gt;54,"Old")</f>
        <v>Old</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cm="1">
        <f t="array" ref="M937">_xlfn.IFS(AND(L937&gt;=31,L937&lt;=54),"Middle Age",L937&lt;31,"Adolescent",L937&gt;54,"Old")</f>
        <v>Middle Age</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cm="1">
        <f t="array" ref="M938">_xlfn.IFS(AND(L938&gt;=31,L938&lt;=54),"Middle Age",L938&lt;31,"Adolescent",L938&gt;54,"Old")</f>
        <v>Old</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cm="1">
        <f t="array" ref="M939">_xlfn.IFS(AND(L939&gt;=31,L939&lt;=54),"Middle Age",L939&lt;31,"Adolescent",L939&gt;54,"Old")</f>
        <v>Middle Age</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cm="1">
        <f t="array" ref="M940">_xlfn.IFS(AND(L940&gt;=31,L940&lt;=54),"Middle Age",L940&lt;31,"Adolescent",L940&gt;54,"Old")</f>
        <v>Adolescent</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cm="1">
        <f t="array" ref="M941">_xlfn.IFS(AND(L941&gt;=31,L941&lt;=54),"Middle Age",L941&lt;31,"Adolescent",L941&gt;54,"Old")</f>
        <v>Middle Age</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cm="1">
        <f t="array" ref="M942">_xlfn.IFS(AND(L942&gt;=31,L942&lt;=54),"Middle Age",L942&lt;31,"Adolescent",L942&gt;54,"Old")</f>
        <v>Middle Age</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cm="1">
        <f t="array" ref="M943">_xlfn.IFS(AND(L943&gt;=31,L943&lt;=54),"Middle Age",L943&lt;31,"Adolescent",L943&gt;54,"Old")</f>
        <v>Middle Age</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cm="1">
        <f t="array" ref="M944">_xlfn.IFS(AND(L944&gt;=31,L944&lt;=54),"Middle Age",L944&lt;31,"Adolescent",L944&gt;54,"Old")</f>
        <v>Middle Age</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cm="1">
        <f t="array" ref="M945">_xlfn.IFS(AND(L945&gt;=31,L945&lt;=54),"Middle Age",L945&lt;31,"Adolescent",L945&gt;54,"Old")</f>
        <v>Middle Age</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cm="1">
        <f t="array" ref="M946">_xlfn.IFS(AND(L946&gt;=31,L946&lt;=54),"Middle Age",L946&lt;31,"Adolescent",L946&gt;54,"Old")</f>
        <v>Middle Age</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cm="1">
        <f t="array" ref="M947">_xlfn.IFS(AND(L947&gt;=31,L947&lt;=54),"Middle Age",L947&lt;31,"Adolescent",L947&gt;54,"Old")</f>
        <v>Middle Age</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cm="1">
        <f t="array" ref="M948">_xlfn.IFS(AND(L948&gt;=31,L948&lt;=54),"Middle Age",L948&lt;31,"Adolescent",L948&gt;54,"Old")</f>
        <v>Old</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cm="1">
        <f t="array" ref="M949">_xlfn.IFS(AND(L949&gt;=31,L949&lt;=54),"Middle Age",L949&lt;31,"Adolescent",L949&gt;54,"Old")</f>
        <v>Middle Age</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cm="1">
        <f t="array" ref="M950">_xlfn.IFS(AND(L950&gt;=31,L950&lt;=54),"Middle Age",L950&lt;31,"Adolescent",L950&gt;54,"Old")</f>
        <v>Middle Age</v>
      </c>
      <c r="N950" t="s">
        <v>18</v>
      </c>
    </row>
    <row r="951" spans="1:14" x14ac:dyDescent="0.3">
      <c r="A951">
        <v>28056</v>
      </c>
      <c r="B951" t="s">
        <v>36</v>
      </c>
      <c r="C951" t="s">
        <v>39</v>
      </c>
      <c r="D951" s="3">
        <v>70000</v>
      </c>
      <c r="E951">
        <v>2</v>
      </c>
      <c r="F951" t="s">
        <v>29</v>
      </c>
      <c r="G951" t="s">
        <v>14</v>
      </c>
      <c r="H951" t="s">
        <v>15</v>
      </c>
      <c r="I951">
        <v>2</v>
      </c>
      <c r="J951" t="s">
        <v>46</v>
      </c>
      <c r="K951" t="s">
        <v>32</v>
      </c>
      <c r="L951">
        <v>53</v>
      </c>
      <c r="M951" t="str" cm="1">
        <f t="array" ref="M951">_xlfn.IFS(AND(L951&gt;=31,L951&lt;=54),"Middle Age",L951&lt;31,"Adolescent",L951&gt;54,"Old")</f>
        <v>Middle Age</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cm="1">
        <f t="array" ref="M952">_xlfn.IFS(AND(L952&gt;=31,L952&lt;=54),"Middle Age",L952&lt;31,"Adolescent",L952&gt;54,"Old")</f>
        <v>Middle Age</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cm="1">
        <f t="array" ref="M953">_xlfn.IFS(AND(L953&gt;=31,L953&lt;=54),"Middle Age",L953&lt;31,"Adolescent",L953&gt;54,"Old")</f>
        <v>Middle Age</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cm="1">
        <f t="array" ref="M954">_xlfn.IFS(AND(L954&gt;=31,L954&lt;=54),"Middle Age",L954&lt;31,"Adolescent",L954&gt;54,"Old")</f>
        <v>Old</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cm="1">
        <f t="array" ref="M955">_xlfn.IFS(AND(L955&gt;=31,L955&lt;=54),"Middle Age",L955&lt;31,"Adolescent",L955&gt;54,"Old")</f>
        <v>Adolescent</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cm="1">
        <f t="array" ref="M956">_xlfn.IFS(AND(L956&gt;=31,L956&lt;=54),"Middle Age",L956&lt;31,"Adolescent",L956&gt;54,"Old")</f>
        <v>Middle Age</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cm="1">
        <f t="array" ref="M957">_xlfn.IFS(AND(L957&gt;=31,L957&lt;=54),"Middle Age",L957&lt;31,"Adolescent",L957&gt;54,"Old")</f>
        <v>Middle Age</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cm="1">
        <f t="array" ref="M958">_xlfn.IFS(AND(L958&gt;=31,L958&lt;=54),"Middle Age",L958&lt;31,"Adolescent",L958&gt;54,"Old")</f>
        <v>Middle Age</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cm="1">
        <f t="array" ref="M959">_xlfn.IFS(AND(L959&gt;=31,L959&lt;=54),"Middle Age",L959&lt;31,"Adolescent",L959&gt;54,"Old")</f>
        <v>Adolescent</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cm="1">
        <f t="array" ref="M960">_xlfn.IFS(AND(L960&gt;=31,L960&lt;=54),"Middle Age",L960&lt;31,"Adolescent",L960&gt;54,"Old")</f>
        <v>Middle Age</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cm="1">
        <f t="array" ref="M961">_xlfn.IFS(AND(L961&gt;=31,L961&lt;=54),"Middle Age",L961&lt;31,"Adolescent",L961&gt;54,"Old")</f>
        <v>Middle Age</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cm="1">
        <f t="array" ref="M962">_xlfn.IFS(AND(L962&gt;=31,L962&lt;=54),"Middle Age",L962&lt;31,"Adolescent",L962&gt;54,"Old")</f>
        <v>Middle Age</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cm="1">
        <f t="array" ref="M963">_xlfn.IFS(AND(L963&gt;=31,L963&lt;=54),"Middle Age",L963&lt;31,"Adolescent",L963&gt;54,"Old")</f>
        <v>Old</v>
      </c>
      <c r="N963" t="s">
        <v>18</v>
      </c>
    </row>
    <row r="964" spans="1:14" x14ac:dyDescent="0.3">
      <c r="A964">
        <v>16813</v>
      </c>
      <c r="B964" t="s">
        <v>36</v>
      </c>
      <c r="C964" t="s">
        <v>39</v>
      </c>
      <c r="D964" s="3">
        <v>60000</v>
      </c>
      <c r="E964">
        <v>2</v>
      </c>
      <c r="F964" t="s">
        <v>19</v>
      </c>
      <c r="G964" t="s">
        <v>21</v>
      </c>
      <c r="H964" t="s">
        <v>15</v>
      </c>
      <c r="I964">
        <v>2</v>
      </c>
      <c r="J964" t="s">
        <v>46</v>
      </c>
      <c r="K964" t="s">
        <v>32</v>
      </c>
      <c r="L964">
        <v>55</v>
      </c>
      <c r="M964" t="str" cm="1">
        <f t="array" ref="M964">_xlfn.IFS(AND(L964&gt;=31,L964&lt;=54),"Middle Age",L964&lt;31,"Adolescent",L964&gt;54,"Old")</f>
        <v>Old</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cm="1">
        <f t="array" ref="M965">_xlfn.IFS(AND(L965&gt;=31,L965&lt;=54),"Middle Age",L965&lt;31,"Adolescent",L965&gt;54,"Old")</f>
        <v>Old</v>
      </c>
      <c r="N965" t="s">
        <v>15</v>
      </c>
    </row>
    <row r="966" spans="1:14" x14ac:dyDescent="0.3">
      <c r="A966">
        <v>27434</v>
      </c>
      <c r="B966" t="s">
        <v>37</v>
      </c>
      <c r="C966" t="s">
        <v>39</v>
      </c>
      <c r="D966" s="3">
        <v>70000</v>
      </c>
      <c r="E966">
        <v>4</v>
      </c>
      <c r="F966" t="s">
        <v>19</v>
      </c>
      <c r="G966" t="s">
        <v>21</v>
      </c>
      <c r="H966" t="s">
        <v>15</v>
      </c>
      <c r="I966">
        <v>1</v>
      </c>
      <c r="J966" t="s">
        <v>46</v>
      </c>
      <c r="K966" t="s">
        <v>32</v>
      </c>
      <c r="L966">
        <v>56</v>
      </c>
      <c r="M966" t="str" cm="1">
        <f t="array" ref="M966">_xlfn.IFS(AND(L966&gt;=31,L966&lt;=54),"Middle Age",L966&lt;31,"Adolescent",L966&gt;54,"Old")</f>
        <v>Old</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cm="1">
        <f t="array" ref="M967">_xlfn.IFS(AND(L967&gt;=31,L967&lt;=54),"Middle Age",L967&lt;31,"Adolescent",L967&gt;54,"Old")</f>
        <v>Middle Age</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cm="1">
        <f t="array" ref="M968">_xlfn.IFS(AND(L968&gt;=31,L968&lt;=54),"Middle Age",L968&lt;31,"Adolescent",L968&gt;54,"Old")</f>
        <v>Middle Age</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cm="1">
        <f t="array" ref="M969">_xlfn.IFS(AND(L969&gt;=31,L969&lt;=54),"Middle Age",L969&lt;31,"Adolescent",L969&gt;54,"Old")</f>
        <v>Old</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cm="1">
        <f t="array" ref="M970">_xlfn.IFS(AND(L970&gt;=31,L970&lt;=54),"Middle Age",L970&lt;31,"Adolescent",L970&gt;54,"Old")</f>
        <v>Adolescent</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cm="1">
        <f t="array" ref="M971">_xlfn.IFS(AND(L971&gt;=31,L971&lt;=54),"Middle Age",L971&lt;31,"Adolescent",L971&gt;54,"Old")</f>
        <v>Middle Age</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cm="1">
        <f t="array" ref="M972">_xlfn.IFS(AND(L972&gt;=31,L972&lt;=54),"Middle Age",L972&lt;31,"Adolescent",L972&gt;54,"Old")</f>
        <v>Middle Age</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cm="1">
        <f t="array" ref="M973">_xlfn.IFS(AND(L973&gt;=31,L973&lt;=54),"Middle Age",L973&lt;31,"Adolescent",L973&gt;54,"Old")</f>
        <v>Middle Age</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cm="1">
        <f t="array" ref="M974">_xlfn.IFS(AND(L974&gt;=31,L974&lt;=54),"Middle Age",L974&lt;31,"Adolescent",L974&gt;54,"Old")</f>
        <v>Middle Age</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cm="1">
        <f t="array" ref="M975">_xlfn.IFS(AND(L975&gt;=31,L975&lt;=54),"Middle Age",L975&lt;31,"Adolescent",L975&gt;54,"Old")</f>
        <v>Middle Age</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cm="1">
        <f t="array" ref="M976">_xlfn.IFS(AND(L976&gt;=31,L976&lt;=54),"Middle Age",L976&lt;31,"Adolescent",L976&gt;54,"Old")</f>
        <v>Middle Age</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cm="1">
        <f t="array" ref="M977">_xlfn.IFS(AND(L977&gt;=31,L977&lt;=54),"Middle Age",L977&lt;31,"Adolescent",L977&gt;54,"Old")</f>
        <v>Middle Age</v>
      </c>
      <c r="N977" t="s">
        <v>15</v>
      </c>
    </row>
    <row r="978" spans="1:14" x14ac:dyDescent="0.3">
      <c r="A978">
        <v>28004</v>
      </c>
      <c r="B978" t="s">
        <v>36</v>
      </c>
      <c r="C978" t="s">
        <v>38</v>
      </c>
      <c r="D978" s="3">
        <v>60000</v>
      </c>
      <c r="E978">
        <v>3</v>
      </c>
      <c r="F978" t="s">
        <v>13</v>
      </c>
      <c r="G978" t="s">
        <v>28</v>
      </c>
      <c r="H978" t="s">
        <v>15</v>
      </c>
      <c r="I978">
        <v>2</v>
      </c>
      <c r="J978" t="s">
        <v>46</v>
      </c>
      <c r="K978" t="s">
        <v>32</v>
      </c>
      <c r="L978">
        <v>66</v>
      </c>
      <c r="M978" t="str" cm="1">
        <f t="array" ref="M978">_xlfn.IFS(AND(L978&gt;=31,L978&lt;=54),"Middle Age",L978&lt;31,"Adolescent",L978&gt;54,"Old")</f>
        <v>Old</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cm="1">
        <f t="array" ref="M979">_xlfn.IFS(AND(L979&gt;=31,L979&lt;=54),"Middle Age",L979&lt;31,"Adolescent",L979&gt;54,"Old")</f>
        <v>Old</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cm="1">
        <f t="array" ref="M980">_xlfn.IFS(AND(L980&gt;=31,L980&lt;=54),"Middle Age",L980&lt;31,"Adolescent",L980&gt;54,"Old")</f>
        <v>Middle Age</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cm="1">
        <f t="array" ref="M981">_xlfn.IFS(AND(L981&gt;=31,L981&lt;=54),"Middle Age",L981&lt;31,"Adolescent",L981&gt;54,"Old")</f>
        <v>Middle Age</v>
      </c>
      <c r="N981" t="s">
        <v>18</v>
      </c>
    </row>
    <row r="982" spans="1:14" x14ac:dyDescent="0.3">
      <c r="A982">
        <v>18594</v>
      </c>
      <c r="B982" t="s">
        <v>37</v>
      </c>
      <c r="C982" t="s">
        <v>38</v>
      </c>
      <c r="D982" s="3">
        <v>80000</v>
      </c>
      <c r="E982">
        <v>3</v>
      </c>
      <c r="F982" t="s">
        <v>13</v>
      </c>
      <c r="G982" t="s">
        <v>14</v>
      </c>
      <c r="H982" t="s">
        <v>15</v>
      </c>
      <c r="I982">
        <v>3</v>
      </c>
      <c r="J982" t="s">
        <v>46</v>
      </c>
      <c r="K982" t="s">
        <v>32</v>
      </c>
      <c r="L982">
        <v>40</v>
      </c>
      <c r="M982" t="str" cm="1">
        <f t="array" ref="M982">_xlfn.IFS(AND(L982&gt;=31,L982&lt;=54),"Middle Age",L982&lt;31,"Adolescent",L982&gt;54,"Old")</f>
        <v>Middle Age</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cm="1">
        <f t="array" ref="M983">_xlfn.IFS(AND(L983&gt;=31,L983&lt;=54),"Middle Age",L983&lt;31,"Adolescent",L983&gt;54,"Old")</f>
        <v>Middle Age</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cm="1">
        <f t="array" ref="M984">_xlfn.IFS(AND(L984&gt;=31,L984&lt;=54),"Middle Age",L984&lt;31,"Adolescent",L984&gt;54,"Old")</f>
        <v>Middle Age</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cm="1">
        <f t="array" ref="M985">_xlfn.IFS(AND(L985&gt;=31,L985&lt;=54),"Middle Age",L985&lt;31,"Adolescent",L985&gt;54,"Old")</f>
        <v>Middle Age</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cm="1">
        <f t="array" ref="M986">_xlfn.IFS(AND(L986&gt;=31,L986&lt;=54),"Middle Age",L986&lt;31,"Adolescent",L986&gt;54,"Old")</f>
        <v>Middle Age</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cm="1">
        <f t="array" ref="M987">_xlfn.IFS(AND(L987&gt;=31,L987&lt;=54),"Middle Age",L987&lt;31,"Adolescent",L987&gt;54,"Old")</f>
        <v>Middle Age</v>
      </c>
      <c r="N987" t="s">
        <v>18</v>
      </c>
    </row>
    <row r="988" spans="1:14" x14ac:dyDescent="0.3">
      <c r="A988">
        <v>23704</v>
      </c>
      <c r="B988" t="s">
        <v>37</v>
      </c>
      <c r="C988" t="s">
        <v>39</v>
      </c>
      <c r="D988" s="3">
        <v>40000</v>
      </c>
      <c r="E988">
        <v>5</v>
      </c>
      <c r="F988" t="s">
        <v>27</v>
      </c>
      <c r="G988" t="s">
        <v>21</v>
      </c>
      <c r="H988" t="s">
        <v>15</v>
      </c>
      <c r="I988">
        <v>4</v>
      </c>
      <c r="J988" t="s">
        <v>46</v>
      </c>
      <c r="K988" t="s">
        <v>32</v>
      </c>
      <c r="L988">
        <v>60</v>
      </c>
      <c r="M988" t="str" cm="1">
        <f t="array" ref="M988">_xlfn.IFS(AND(L988&gt;=31,L988&lt;=54),"Middle Age",L988&lt;31,"Adolescent",L988&gt;54,"Old")</f>
        <v>Old</v>
      </c>
      <c r="N988" t="s">
        <v>15</v>
      </c>
    </row>
    <row r="989" spans="1:14" x14ac:dyDescent="0.3">
      <c r="A989">
        <v>28972</v>
      </c>
      <c r="B989" t="s">
        <v>37</v>
      </c>
      <c r="C989" t="s">
        <v>38</v>
      </c>
      <c r="D989" s="3">
        <v>60000</v>
      </c>
      <c r="E989">
        <v>3</v>
      </c>
      <c r="F989" t="s">
        <v>31</v>
      </c>
      <c r="G989" t="s">
        <v>28</v>
      </c>
      <c r="H989" t="s">
        <v>15</v>
      </c>
      <c r="I989">
        <v>2</v>
      </c>
      <c r="J989" t="s">
        <v>46</v>
      </c>
      <c r="K989" t="s">
        <v>32</v>
      </c>
      <c r="L989">
        <v>66</v>
      </c>
      <c r="M989" t="str" cm="1">
        <f t="array" ref="M989">_xlfn.IFS(AND(L989&gt;=31,L989&lt;=54),"Middle Age",L989&lt;31,"Adolescent",L989&gt;54,"Old")</f>
        <v>Old</v>
      </c>
      <c r="N989" t="s">
        <v>18</v>
      </c>
    </row>
    <row r="990" spans="1:14" x14ac:dyDescent="0.3">
      <c r="A990">
        <v>22730</v>
      </c>
      <c r="B990" t="s">
        <v>36</v>
      </c>
      <c r="C990" t="s">
        <v>39</v>
      </c>
      <c r="D990" s="3">
        <v>70000</v>
      </c>
      <c r="E990">
        <v>5</v>
      </c>
      <c r="F990" t="s">
        <v>13</v>
      </c>
      <c r="G990" t="s">
        <v>28</v>
      </c>
      <c r="H990" t="s">
        <v>15</v>
      </c>
      <c r="I990">
        <v>2</v>
      </c>
      <c r="J990" t="s">
        <v>46</v>
      </c>
      <c r="K990" t="s">
        <v>32</v>
      </c>
      <c r="L990">
        <v>63</v>
      </c>
      <c r="M990" t="str" cm="1">
        <f t="array" ref="M990">_xlfn.IFS(AND(L990&gt;=31,L990&lt;=54),"Middle Age",L990&lt;31,"Adolescent",L990&gt;54,"Old")</f>
        <v>Old</v>
      </c>
      <c r="N990" t="s">
        <v>18</v>
      </c>
    </row>
    <row r="991" spans="1:14" x14ac:dyDescent="0.3">
      <c r="A991">
        <v>29134</v>
      </c>
      <c r="B991" t="s">
        <v>36</v>
      </c>
      <c r="C991" t="s">
        <v>39</v>
      </c>
      <c r="D991" s="3">
        <v>60000</v>
      </c>
      <c r="E991">
        <v>4</v>
      </c>
      <c r="F991" t="s">
        <v>13</v>
      </c>
      <c r="G991" t="s">
        <v>14</v>
      </c>
      <c r="H991" t="s">
        <v>18</v>
      </c>
      <c r="I991">
        <v>3</v>
      </c>
      <c r="J991" t="s">
        <v>46</v>
      </c>
      <c r="K991" t="s">
        <v>32</v>
      </c>
      <c r="L991">
        <v>42</v>
      </c>
      <c r="M991" t="str" cm="1">
        <f t="array" ref="M991">_xlfn.IFS(AND(L991&gt;=31,L991&lt;=54),"Middle Age",L991&lt;31,"Adolescent",L991&gt;54,"Old")</f>
        <v>Middle Age</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cm="1">
        <f t="array" ref="M992">_xlfn.IFS(AND(L992&gt;=31,L992&lt;=54),"Middle Age",L992&lt;31,"Adolescent",L992&gt;54,"Old")</f>
        <v>Adolescent</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cm="1">
        <f t="array" ref="M993">_xlfn.IFS(AND(L993&gt;=31,L993&lt;=54),"Middle Age",L993&lt;31,"Adolescent",L993&gt;54,"Old")</f>
        <v>Middle Age</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cm="1">
        <f t="array" ref="M994">_xlfn.IFS(AND(L994&gt;=31,L994&lt;=54),"Middle Age",L994&lt;31,"Adolescent",L994&gt;54,"Old")</f>
        <v>Middle Age</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cm="1">
        <f t="array" ref="M995">_xlfn.IFS(AND(L995&gt;=31,L995&lt;=54),"Middle Age",L995&lt;31,"Adolescent",L995&gt;54,"Old")</f>
        <v>Middle Age</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cm="1">
        <f t="array" ref="M996">_xlfn.IFS(AND(L996&gt;=31,L996&lt;=54),"Middle Age",L996&lt;31,"Adolescent",L996&gt;54,"Old")</f>
        <v>Middle Age</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cm="1">
        <f t="array" ref="M997">_xlfn.IFS(AND(L997&gt;=31,L997&lt;=54),"Middle Age",L997&lt;31,"Adolescent",L997&gt;54,"Old")</f>
        <v>Middle Age</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cm="1">
        <f t="array" ref="M998">_xlfn.IFS(AND(L998&gt;=31,L998&lt;=54),"Middle Age",L998&lt;31,"Adolescent",L998&gt;54,"Old")</f>
        <v>Middle Age</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cm="1">
        <f t="array" ref="M999">_xlfn.IFS(AND(L999&gt;=31,L999&lt;=54),"Middle Age",L999&lt;31,"Adolescent",L999&gt;54,"Old")</f>
        <v>Middle Age</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cm="1">
        <f t="array" ref="M1000">_xlfn.IFS(AND(L1000&gt;=31,L1000&lt;=54),"Middle Age",L1000&lt;31,"Adolescent",L1000&gt;54,"Old")</f>
        <v>Middle Age</v>
      </c>
      <c r="N1000" t="s">
        <v>18</v>
      </c>
    </row>
    <row r="1001" spans="1:14" x14ac:dyDescent="0.3">
      <c r="A1001">
        <v>12121</v>
      </c>
      <c r="B1001" t="s">
        <v>37</v>
      </c>
      <c r="C1001" t="s">
        <v>39</v>
      </c>
      <c r="D1001" s="3">
        <v>60000</v>
      </c>
      <c r="E1001">
        <v>3</v>
      </c>
      <c r="F1001" t="s">
        <v>27</v>
      </c>
      <c r="G1001" t="s">
        <v>21</v>
      </c>
      <c r="H1001" t="s">
        <v>15</v>
      </c>
      <c r="I1001">
        <v>2</v>
      </c>
      <c r="J1001" t="s">
        <v>46</v>
      </c>
      <c r="K1001" t="s">
        <v>32</v>
      </c>
      <c r="L1001">
        <v>53</v>
      </c>
      <c r="M1001" t="str" cm="1">
        <f t="array" ref="M1001">_xlfn.IFS(AND(L1001&gt;=31,L1001&lt;=54),"Middle Age",L1001&lt;31,"Adolescent",L1001&gt;54,"Old")</f>
        <v>Middle Age</v>
      </c>
      <c r="N1001" t="s">
        <v>15</v>
      </c>
    </row>
    <row r="1002" spans="1:14" x14ac:dyDescent="0.3">
      <c r="M1002" t="str" cm="1">
        <f t="array" ref="M1002">_xlfn.IFS(AND(L1002&gt;=31,L1002&lt;=54),"Middle Age",L1002&lt;31,"Adolescent",L1002&gt;54,"Old")</f>
        <v>Adolescent</v>
      </c>
    </row>
    <row r="1003" spans="1:14" x14ac:dyDescent="0.3">
      <c r="M1003" t="str" cm="1">
        <f t="array" ref="M1003">_xlfn.IFS(AND(L1003&gt;=31,L1003&lt;=54),"Middle Age",L1003&lt;31,"Adolescent",L1003&gt;54,"Old")</f>
        <v>Adolescent</v>
      </c>
    </row>
    <row r="1004" spans="1:14" x14ac:dyDescent="0.3">
      <c r="M1004" t="str" cm="1">
        <f t="array" ref="M1004">_xlfn.IFS(AND(L1004&gt;=31,L1004&lt;=54),"Middle Age",L1004&lt;31,"Adolescent",L1004&gt;54,"Old")</f>
        <v>Adolescent</v>
      </c>
    </row>
    <row r="1005" spans="1:14" x14ac:dyDescent="0.3">
      <c r="M1005" t="str" cm="1">
        <f t="array" ref="M1005">_xlfn.IFS(AND(L1005&gt;=31,L1005&lt;=54),"Middle Age",L1005&lt;31,"Adolescent",L1005&gt;54,"Old")</f>
        <v>Adolescent</v>
      </c>
    </row>
    <row r="1006" spans="1:14" x14ac:dyDescent="0.3">
      <c r="M1006" t="str" cm="1">
        <f t="array" ref="M1006">_xlfn.IFS(AND(L1006&gt;=31,L1006&lt;=54),"Middle Age",L1006&lt;31,"Adolescent",L1006&gt;54,"Old")</f>
        <v>Adolescent</v>
      </c>
    </row>
    <row r="1007" spans="1:14" x14ac:dyDescent="0.3">
      <c r="M1007" t="str" cm="1">
        <f t="array" ref="M1007">_xlfn.IFS(AND(L1007&gt;=31,L1007&lt;=54),"Middle Age",L1007&lt;31,"Adolescent",L1007&gt;54,"Old")</f>
        <v>Adolescent</v>
      </c>
    </row>
    <row r="1008" spans="1:14" x14ac:dyDescent="0.3">
      <c r="M1008" t="str" cm="1">
        <f t="array" ref="M1008">_xlfn.IFS(AND(L1008&gt;=31,L1008&lt;=54),"Middle Age",L1008&lt;31,"Adolescent",L1008&gt;54,"Old")</f>
        <v>Adolescent</v>
      </c>
    </row>
    <row r="1009" spans="13:13" x14ac:dyDescent="0.3">
      <c r="M1009" t="str" cm="1">
        <f t="array" ref="M1009">_xlfn.IFS(AND(L1009&gt;=31,L1009&lt;=54),"Middle Age",L1009&lt;31,"Adolescent",L1009&gt;54,"Old")</f>
        <v>Adolescent</v>
      </c>
    </row>
    <row r="1010" spans="13:13" x14ac:dyDescent="0.3">
      <c r="M1010" t="str" cm="1">
        <f t="array" ref="M1010">_xlfn.IFS(AND(L1010&gt;=31,L1010&lt;=54),"Middle Age",L1010&lt;31,"Adolescent",L1010&gt;54,"Old")</f>
        <v>Adolescent</v>
      </c>
    </row>
    <row r="1011" spans="13:13" x14ac:dyDescent="0.3">
      <c r="M1011" t="str" cm="1">
        <f t="array" ref="M1011">_xlfn.IFS(AND(L1011&gt;=31,L1011&lt;=54),"Middle Age",L1011&lt;31,"Adolescent",L1011&gt;54,"Old")</f>
        <v>Adolescent</v>
      </c>
    </row>
    <row r="1012" spans="13:13" x14ac:dyDescent="0.3">
      <c r="M1012" t="str" cm="1">
        <f t="array" ref="M1012">_xlfn.IFS(AND(L1012&gt;=31,L1012&lt;=54),"Middle Age",L1012&lt;31,"Adolescent",L1012&gt;54,"Old")</f>
        <v>Adolescent</v>
      </c>
    </row>
    <row r="1013" spans="13:13" x14ac:dyDescent="0.3">
      <c r="M1013" t="str" cm="1">
        <f t="array" ref="M1013">_xlfn.IFS(AND(L1013&gt;=31,L1013&lt;=54),"Middle Age",L1013&lt;31,"Adolescent",L1013&gt;54,"Old")</f>
        <v>Adolescent</v>
      </c>
    </row>
    <row r="1014" spans="13:13" x14ac:dyDescent="0.3">
      <c r="M1014" t="str" cm="1">
        <f t="array" ref="M1014">_xlfn.IFS(AND(L1014&gt;=31,L1014&lt;=54),"Middle Age",L1014&lt;31,"Adolescent",L1014&gt;54,"Old")</f>
        <v>Adolescent</v>
      </c>
    </row>
    <row r="1015" spans="13:13" x14ac:dyDescent="0.3">
      <c r="M1015" t="str" cm="1">
        <f t="array" ref="M1015">_xlfn.IFS(AND(L1015&gt;=31,L1015&lt;=54),"Middle Age",L1015&lt;31,"Adolescent",L1015&gt;54,"Old")</f>
        <v>Adolescent</v>
      </c>
    </row>
    <row r="1016" spans="13:13" x14ac:dyDescent="0.3">
      <c r="M1016" t="str" cm="1">
        <f t="array" ref="M1016">_xlfn.IFS(AND(L1016&gt;=31,L1016&lt;=54),"Middle Age",L1016&lt;31,"Adolescent",L1016&gt;54,"Old")</f>
        <v>Adolescent</v>
      </c>
    </row>
    <row r="1017" spans="13:13" x14ac:dyDescent="0.3">
      <c r="M1017" t="str" cm="1">
        <f t="array" ref="M1017">_xlfn.IFS(AND(L1017&gt;=31,L1017&lt;=54),"Middle Age",L1017&lt;31,"Adolescent",L1017&gt;54,"Old")</f>
        <v>Adolescent</v>
      </c>
    </row>
    <row r="1018" spans="13:13" x14ac:dyDescent="0.3">
      <c r="M1018" t="str" cm="1">
        <f t="array" ref="M1018">_xlfn.IFS(AND(L1018&gt;=31,L1018&lt;=54),"Middle Age",L1018&lt;31,"Adolescent",L1018&gt;54,"Old")</f>
        <v>Adolescent</v>
      </c>
    </row>
    <row r="1019" spans="13:13" x14ac:dyDescent="0.3">
      <c r="M1019" t="str" cm="1">
        <f t="array" ref="M1019">_xlfn.IFS(AND(L1019&gt;=31,L1019&lt;=54),"Middle Age",L1019&lt;31,"Adolescent",L1019&gt;54,"Old")</f>
        <v>Adolescent</v>
      </c>
    </row>
    <row r="1020" spans="13:13" x14ac:dyDescent="0.3">
      <c r="M1020" t="str" cm="1">
        <f t="array" ref="M1020">_xlfn.IFS(AND(L1020&gt;=31,L1020&lt;=54),"Middle Age",L1020&lt;31,"Adolescent",L1020&gt;54,"Old")</f>
        <v>Adolescent</v>
      </c>
    </row>
    <row r="1021" spans="13:13" x14ac:dyDescent="0.3">
      <c r="M1021" t="str" cm="1">
        <f t="array" ref="M1021">_xlfn.IFS(AND(L1021&gt;=31,L1021&lt;=54),"Middle Age",L1021&lt;31,"Adolescent",L1021&gt;54,"Old")</f>
        <v>Adolescent</v>
      </c>
    </row>
    <row r="1022" spans="13:13" x14ac:dyDescent="0.3">
      <c r="M1022" t="str" cm="1">
        <f t="array" ref="M1022">_xlfn.IFS(AND(L1022&gt;=31,L1022&lt;=54),"Middle Age",L1022&lt;31,"Adolescent",L1022&gt;54,"Old")</f>
        <v>Adolescent</v>
      </c>
    </row>
    <row r="1023" spans="13:13" x14ac:dyDescent="0.3">
      <c r="M1023" t="str" cm="1">
        <f t="array" ref="M1023">_xlfn.IFS(AND(L1023&gt;=31,L1023&lt;=54),"Middle Age",L1023&lt;31,"Adolescent",L1023&gt;54,"Old")</f>
        <v>Adolescent</v>
      </c>
    </row>
    <row r="1024" spans="13:13" x14ac:dyDescent="0.3">
      <c r="M1024" t="str" cm="1">
        <f t="array" ref="M1024">_xlfn.IFS(AND(L1024&gt;=31,L1024&lt;=54),"Middle Age",L1024&lt;31,"Adolescent",L1024&gt;54,"Old")</f>
        <v>Adolescent</v>
      </c>
    </row>
    <row r="1025" spans="13:13" x14ac:dyDescent="0.3">
      <c r="M1025" t="str" cm="1">
        <f t="array" ref="M1025">_xlfn.IFS(AND(L1025&gt;=31,L1025&lt;=54),"Middle Age",L1025&lt;31,"Adolescent",L1025&gt;54,"Old")</f>
        <v>Adolescent</v>
      </c>
    </row>
    <row r="1026" spans="13:13" x14ac:dyDescent="0.3">
      <c r="M1026" t="str" cm="1">
        <f t="array" ref="M1026">_xlfn.IFS(AND(L1026&gt;=31,L1026&lt;=54),"Middle Age",L1026&lt;31,"Adolescent",L1026&gt;54,"Old")</f>
        <v>Adolescent</v>
      </c>
    </row>
    <row r="1027" spans="13:13" x14ac:dyDescent="0.3">
      <c r="M1027" t="str" cm="1">
        <f t="array" ref="M1027">_xlfn.IFS(AND(L1027&gt;=31,L1027&lt;=54),"Middle Age",L1027&lt;31,"Adolescent",L1027&gt;54,"Old")</f>
        <v>Adolescent</v>
      </c>
    </row>
  </sheetData>
  <autoFilter ref="A1:N1027" xr:uid="{50EA8033-1320-4FDF-B96F-F37C9B1AF505}"/>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2E0D8-009E-4037-84F5-0A86FFC343C7}">
  <dimension ref="A1:D39"/>
  <sheetViews>
    <sheetView topLeftCell="A24" workbookViewId="0">
      <selection activeCell="B8" sqref="B8"/>
    </sheetView>
  </sheetViews>
  <sheetFormatPr defaultRowHeight="14.4" x14ac:dyDescent="0.3"/>
  <cols>
    <col min="1" max="1" width="17" bestFit="1" customWidth="1"/>
    <col min="2" max="2" width="15.5546875" bestFit="1" customWidth="1"/>
    <col min="3" max="3" width="8" bestFit="1" customWidth="1"/>
    <col min="4" max="4" width="10.77734375" bestFit="1" customWidth="1"/>
  </cols>
  <sheetData>
    <row r="1" spans="1:4" x14ac:dyDescent="0.3">
      <c r="A1" s="4" t="s">
        <v>44</v>
      </c>
      <c r="B1" s="4" t="s">
        <v>43</v>
      </c>
    </row>
    <row r="2" spans="1:4" x14ac:dyDescent="0.3">
      <c r="A2" s="4" t="s">
        <v>41</v>
      </c>
      <c r="B2" t="s">
        <v>18</v>
      </c>
      <c r="C2" t="s">
        <v>15</v>
      </c>
      <c r="D2" t="s">
        <v>42</v>
      </c>
    </row>
    <row r="3" spans="1:4" x14ac:dyDescent="0.3">
      <c r="A3" s="5" t="s">
        <v>38</v>
      </c>
      <c r="B3" s="3">
        <v>53440</v>
      </c>
      <c r="C3" s="3">
        <v>55774.058577405856</v>
      </c>
      <c r="D3" s="3">
        <v>54580.777096114522</v>
      </c>
    </row>
    <row r="4" spans="1:4" x14ac:dyDescent="0.3">
      <c r="A4" s="5" t="s">
        <v>39</v>
      </c>
      <c r="B4" s="3">
        <v>56208.178438661707</v>
      </c>
      <c r="C4" s="3">
        <v>60123.966942148763</v>
      </c>
      <c r="D4" s="3">
        <v>58062.62230919765</v>
      </c>
    </row>
    <row r="5" spans="1:4" x14ac:dyDescent="0.3">
      <c r="A5" s="5" t="s">
        <v>42</v>
      </c>
      <c r="B5" s="3">
        <v>54874.759152215796</v>
      </c>
      <c r="C5" s="3">
        <v>57962.577962577961</v>
      </c>
      <c r="D5" s="3">
        <v>56360</v>
      </c>
    </row>
    <row r="17" spans="1:4" x14ac:dyDescent="0.3">
      <c r="A17" s="4" t="s">
        <v>45</v>
      </c>
      <c r="B17" s="4" t="s">
        <v>43</v>
      </c>
    </row>
    <row r="18" spans="1:4" x14ac:dyDescent="0.3">
      <c r="A18" s="4" t="s">
        <v>41</v>
      </c>
      <c r="B18" t="s">
        <v>18</v>
      </c>
      <c r="C18" t="s">
        <v>15</v>
      </c>
      <c r="D18" t="s">
        <v>42</v>
      </c>
    </row>
    <row r="19" spans="1:4" x14ac:dyDescent="0.3">
      <c r="A19" s="5" t="s">
        <v>16</v>
      </c>
      <c r="B19" s="6">
        <v>166</v>
      </c>
      <c r="C19" s="6">
        <v>200</v>
      </c>
      <c r="D19" s="6">
        <v>366</v>
      </c>
    </row>
    <row r="20" spans="1:4" x14ac:dyDescent="0.3">
      <c r="A20" s="5" t="s">
        <v>26</v>
      </c>
      <c r="B20" s="6">
        <v>92</v>
      </c>
      <c r="C20" s="6">
        <v>77</v>
      </c>
      <c r="D20" s="6">
        <v>169</v>
      </c>
    </row>
    <row r="21" spans="1:4" x14ac:dyDescent="0.3">
      <c r="A21" s="5" t="s">
        <v>22</v>
      </c>
      <c r="B21" s="6">
        <v>67</v>
      </c>
      <c r="C21" s="6">
        <v>95</v>
      </c>
      <c r="D21" s="6">
        <v>162</v>
      </c>
    </row>
    <row r="22" spans="1:4" x14ac:dyDescent="0.3">
      <c r="A22" s="5" t="s">
        <v>23</v>
      </c>
      <c r="B22" s="6">
        <v>116</v>
      </c>
      <c r="C22" s="6">
        <v>76</v>
      </c>
      <c r="D22" s="6">
        <v>192</v>
      </c>
    </row>
    <row r="23" spans="1:4" x14ac:dyDescent="0.3">
      <c r="A23" s="5" t="s">
        <v>46</v>
      </c>
      <c r="B23" s="6">
        <v>78</v>
      </c>
      <c r="C23" s="6">
        <v>33</v>
      </c>
      <c r="D23" s="6">
        <v>111</v>
      </c>
    </row>
    <row r="24" spans="1:4" x14ac:dyDescent="0.3">
      <c r="A24" s="5" t="s">
        <v>42</v>
      </c>
      <c r="B24" s="6">
        <v>519</v>
      </c>
      <c r="C24" s="6">
        <v>481</v>
      </c>
      <c r="D24" s="6">
        <v>1000</v>
      </c>
    </row>
    <row r="34" spans="1:4" x14ac:dyDescent="0.3">
      <c r="A34" s="4" t="s">
        <v>45</v>
      </c>
      <c r="B34" s="4" t="s">
        <v>43</v>
      </c>
    </row>
    <row r="35" spans="1:4" x14ac:dyDescent="0.3">
      <c r="A35" s="4" t="s">
        <v>41</v>
      </c>
      <c r="B35" t="s">
        <v>18</v>
      </c>
      <c r="C35" t="s">
        <v>15</v>
      </c>
      <c r="D35" t="s">
        <v>42</v>
      </c>
    </row>
    <row r="36" spans="1:4" x14ac:dyDescent="0.3">
      <c r="A36" s="5" t="s">
        <v>47</v>
      </c>
      <c r="B36" s="6">
        <v>71</v>
      </c>
      <c r="C36" s="6">
        <v>39</v>
      </c>
      <c r="D36" s="6">
        <v>110</v>
      </c>
    </row>
    <row r="37" spans="1:4" x14ac:dyDescent="0.3">
      <c r="A37" s="5" t="s">
        <v>48</v>
      </c>
      <c r="B37" s="6">
        <v>318</v>
      </c>
      <c r="C37" s="6">
        <v>383</v>
      </c>
      <c r="D37" s="6">
        <v>701</v>
      </c>
    </row>
    <row r="38" spans="1:4" x14ac:dyDescent="0.3">
      <c r="A38" s="5" t="s">
        <v>49</v>
      </c>
      <c r="B38" s="6">
        <v>130</v>
      </c>
      <c r="C38" s="6">
        <v>59</v>
      </c>
      <c r="D38" s="6">
        <v>189</v>
      </c>
    </row>
    <row r="39" spans="1:4" x14ac:dyDescent="0.3">
      <c r="A39" s="5" t="s">
        <v>42</v>
      </c>
      <c r="B39" s="6">
        <v>519</v>
      </c>
      <c r="C39" s="6">
        <v>481</v>
      </c>
      <c r="D39" s="6">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CA9D2-4710-44A4-AD5D-44BCA589EA3D}">
  <dimension ref="A1:N4"/>
  <sheetViews>
    <sheetView showGridLines="0" tabSelected="1" topLeftCell="A10" zoomScale="86" zoomScaleNormal="86" workbookViewId="0">
      <selection activeCell="R12" sqref="R12"/>
    </sheetView>
  </sheetViews>
  <sheetFormatPr defaultRowHeight="14.4" x14ac:dyDescent="0.3"/>
  <cols>
    <col min="2" max="2" width="10.33203125" customWidth="1"/>
    <col min="3" max="3" width="8.88671875" customWidth="1"/>
  </cols>
  <sheetData>
    <row r="1" spans="1:14" x14ac:dyDescent="0.3">
      <c r="A1" s="7"/>
      <c r="B1" s="7"/>
      <c r="C1" s="7"/>
      <c r="D1" s="7"/>
      <c r="E1" s="7"/>
      <c r="F1" s="7"/>
      <c r="G1" s="7"/>
      <c r="H1" s="7"/>
      <c r="I1" s="7"/>
      <c r="J1" s="7"/>
      <c r="K1" s="7"/>
      <c r="L1" s="7"/>
      <c r="M1" s="7"/>
      <c r="N1" s="7"/>
    </row>
    <row r="2" spans="1:14" x14ac:dyDescent="0.3">
      <c r="A2" s="7"/>
      <c r="B2" s="7"/>
      <c r="C2" s="7"/>
      <c r="D2" s="7"/>
      <c r="E2" s="7"/>
      <c r="F2" s="7"/>
      <c r="G2" s="7"/>
      <c r="H2" s="7"/>
      <c r="I2" s="7"/>
      <c r="J2" s="7"/>
      <c r="K2" s="7"/>
      <c r="L2" s="7"/>
      <c r="M2" s="7"/>
      <c r="N2" s="7"/>
    </row>
    <row r="3" spans="1:14" x14ac:dyDescent="0.3">
      <c r="A3" s="7"/>
      <c r="B3" s="7"/>
      <c r="C3" s="7"/>
      <c r="D3" s="7"/>
      <c r="E3" s="7"/>
      <c r="F3" s="7"/>
      <c r="G3" s="7"/>
      <c r="H3" s="7"/>
      <c r="I3" s="7"/>
      <c r="J3" s="7"/>
      <c r="K3" s="7"/>
      <c r="L3" s="7"/>
      <c r="M3" s="7"/>
      <c r="N3" s="7"/>
    </row>
    <row r="4" spans="1:14" x14ac:dyDescent="0.3">
      <c r="A4" s="7"/>
      <c r="B4" s="7"/>
      <c r="C4" s="7"/>
      <c r="D4" s="7"/>
      <c r="E4" s="7"/>
      <c r="F4" s="7"/>
      <c r="G4" s="7"/>
      <c r="H4" s="7"/>
      <c r="I4" s="7"/>
      <c r="J4" s="7"/>
      <c r="K4" s="7"/>
      <c r="L4" s="7"/>
      <c r="M4" s="7"/>
      <c r="N4"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Umer Azmi</cp:lastModifiedBy>
  <dcterms:created xsi:type="dcterms:W3CDTF">2022-03-18T02:50:57Z</dcterms:created>
  <dcterms:modified xsi:type="dcterms:W3CDTF">2025-01-22T16:34:30Z</dcterms:modified>
</cp:coreProperties>
</file>